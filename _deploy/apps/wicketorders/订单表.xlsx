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\Downloads\"/>
    </mc:Choice>
  </mc:AlternateContent>
  <xr:revisionPtr revIDLastSave="0" documentId="13_ncr:1_{076CECCE-71B6-4BEF-8161-944C1A23A4E3}" xr6:coauthVersionLast="47" xr6:coauthVersionMax="47" xr10:uidLastSave="{00000000-0000-0000-0000-000000000000}"/>
  <bookViews>
    <workbookView xWindow="-98" yWindow="-98" windowWidth="21795" windowHeight="12975" xr2:uid="{DFA69EFE-0210-4F21-A829-43CABA75E51F}"/>
  </bookViews>
  <sheets>
    <sheet name="订单登记表" sheetId="1" r:id="rId1"/>
  </sheets>
  <externalReferences>
    <externalReference r:id="rId2"/>
    <externalReference r:id="rId3"/>
  </externalReferences>
  <definedNames>
    <definedName name="__123Graph_A" hidden="1">[1]目次!$C$9:$C$108</definedName>
    <definedName name="__123Graph_Aﾃｽﾄ" hidden="1">#REF!</definedName>
    <definedName name="__123Graph_B" hidden="1">[1]目次!$D$9:$D$108</definedName>
    <definedName name="__123Graph_Bﾃｽﾄ" hidden="1">#REF!</definedName>
    <definedName name="__123Graph_C" hidden="1">[1]目次!$E$9:$E$108</definedName>
    <definedName name="__123Graph_Cﾃｽﾄ" hidden="1">#REF!</definedName>
    <definedName name="__123Graph_D" hidden="1">[1]目次!$F$9:$F$108</definedName>
    <definedName name="__123Graph_Dﾃｽﾄ" hidden="1">#REF!</definedName>
    <definedName name="__123Graph_E" hidden="1">[1]目次!$J$9:$J$108</definedName>
    <definedName name="__123Graph_Eﾃｽﾄ" hidden="1">#REF!</definedName>
    <definedName name="__123Graph_F" hidden="1">[1]目次!$K$9:$K$108</definedName>
    <definedName name="__123Graph_Fﾃｽﾄ" hidden="1">#REF!</definedName>
    <definedName name="__123Graph_X" hidden="1">[1]目次!$B$9:$B$108</definedName>
    <definedName name="__123Graph_Xﾃｽﾄ" hidden="1">#REF!</definedName>
    <definedName name="_Dist_Bin" hidden="1">#REF!</definedName>
    <definedName name="_Fill" hidden="1">#REF!</definedName>
    <definedName name="_xlnm._FilterDatabase" localSheetId="0" hidden="1">订单登记表!$A$1:$S$1293</definedName>
    <definedName name="ab" hidden="1">#REF!</definedName>
    <definedName name="_xlnm.Database" hidden="1">#REF!</definedName>
    <definedName name="D教科" hidden="1">#REF!</definedName>
    <definedName name="财源DT" hidden="1">科目設定</definedName>
    <definedName name="财源条件" hidden="1">#REF!</definedName>
    <definedName name="分类寘" hidden="1">#REF!</definedName>
    <definedName name="管理DT" hidden="1">#REF!</definedName>
    <definedName name="管理条件" hidden="1">#REF!</definedName>
    <definedName name="规格DT" hidden="1">規格DT</definedName>
    <definedName name="合计">MID([2]报价录入!XFD1,4,6)*[2]报价录入!XFC1</definedName>
    <definedName name="婎弨" hidden="1">基準</definedName>
    <definedName name="教科DT" hidden="1">#REF!</definedName>
    <definedName name="教科条件" hidden="1">#REF!</definedName>
    <definedName name="进货金额">MID([2]报价录入!XFD1,4,6)*[2]报价录入!XEY1</definedName>
    <definedName name="年度aDT" hidden="1">#REF!</definedName>
    <definedName name="年度DT" hidden="1">#REF!</definedName>
    <definedName name="年度条件" hidden="1">#REF!</definedName>
    <definedName name="排序DT" hidden="1">#REF!</definedName>
    <definedName name="品名DATA" hidden="1">#REF!</definedName>
    <definedName name="品名条件" hidden="1">#REF!</definedName>
    <definedName name="峑挿DT" hidden="1">#REF!</definedName>
    <definedName name="小分类" hidden="1">#REF!</definedName>
    <definedName name="业者DT" hidden="1">#REF!</definedName>
    <definedName name="业者条件" hidden="1">#REF!</definedName>
    <definedName name="張暘棟桼" hidden="1">処分理由</definedName>
    <definedName name="整理No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0" i="1" l="1"/>
  <c r="Q391" i="1"/>
  <c r="Q389" i="1"/>
  <c r="Q311" i="1"/>
  <c r="Q310" i="1"/>
  <c r="Q239" i="1"/>
  <c r="Q193" i="1"/>
  <c r="Q191" i="1"/>
  <c r="Q1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alon</author>
    <author>alon zhang</author>
  </authors>
  <commentList>
    <comment ref="P184" authorId="0" shapeId="0" xr:uid="{7321DAFF-F998-469A-A52A-21EDBEE1D827}">
      <text>
        <r>
          <rPr>
            <b/>
            <sz val="9"/>
            <color indexed="81"/>
            <rFont val="宋体"/>
            <family val="3"/>
            <charset val="134"/>
          </rPr>
          <t>2024.1.30补发120只</t>
        </r>
      </text>
    </comment>
    <comment ref="S233" authorId="0" shapeId="0" xr:uid="{91F122D1-FA7F-482E-B3B9-6C06BDBFE637}">
      <text>
        <r>
          <rPr>
            <b/>
            <sz val="9"/>
            <color indexed="81"/>
            <rFont val="宋体"/>
            <family val="3"/>
            <charset val="134"/>
          </rPr>
          <t xml:space="preserve">实际高了10cm，按16.3mm/pc高
</t>
        </r>
      </text>
    </comment>
    <comment ref="P268" authorId="0" shapeId="0" xr:uid="{1C7483FC-AE6F-46B8-98B0-3AAB3A820B1A}">
      <text>
        <r>
          <rPr>
            <b/>
            <sz val="9"/>
            <color indexed="81"/>
            <rFont val="宋体"/>
            <family val="3"/>
            <charset val="134"/>
          </rPr>
          <t>9.18重发，赔偿</t>
        </r>
      </text>
    </comment>
    <comment ref="S268" authorId="0" shapeId="0" xr:uid="{4B94EDEC-94E7-40CE-B301-D2EF08A3B26A}">
      <text>
        <r>
          <rPr>
            <b/>
            <sz val="9"/>
            <color indexed="81"/>
            <rFont val="宋体"/>
            <family val="3"/>
            <charset val="134"/>
          </rPr>
          <t>长2180宽1000高1060 -9.18重发</t>
        </r>
      </text>
    </comment>
    <comment ref="S269" authorId="0" shapeId="0" xr:uid="{5A99DB24-6D67-4A2F-8115-E6FB9DB74C09}">
      <text>
        <r>
          <rPr>
            <b/>
            <sz val="9"/>
            <color indexed="81"/>
            <rFont val="宋体"/>
            <family val="3"/>
            <charset val="134"/>
          </rPr>
          <t>实际高10cm</t>
        </r>
      </text>
    </comment>
    <comment ref="O271" authorId="0" shapeId="0" xr:uid="{8345E2C8-5626-48E5-AFD2-7339ABE719F5}">
      <text>
        <r>
          <rPr>
            <b/>
            <sz val="9"/>
            <color indexed="81"/>
            <rFont val="宋体"/>
            <family val="3"/>
            <charset val="134"/>
          </rPr>
          <t>FOB 10USD</t>
        </r>
      </text>
    </comment>
    <comment ref="S272" authorId="0" shapeId="0" xr:uid="{FF07541F-DE4D-45A6-A467-AFB9BE6CB7EB}">
      <text>
        <r>
          <rPr>
            <b/>
            <sz val="9"/>
            <color indexed="81"/>
            <rFont val="宋体"/>
            <family val="3"/>
            <charset val="134"/>
          </rPr>
          <t>实际高10cm</t>
        </r>
      </text>
    </comment>
    <comment ref="P276" authorId="0" shapeId="0" xr:uid="{B2F3D6D3-06F2-4B70-8470-9398378BD0DA}">
      <text>
        <r>
          <rPr>
            <b/>
            <sz val="9"/>
            <color indexed="81"/>
            <rFont val="宋体"/>
            <family val="3"/>
            <charset val="134"/>
          </rPr>
          <t>库存管料：
2.7米-290kgs
2.4米-366kgs
2.6米（新做）-1500kgs</t>
        </r>
      </text>
    </comment>
    <comment ref="P279" authorId="0" shapeId="0" xr:uid="{BCD08358-4C53-4FD8-8E3C-F55D7777BECB}">
      <text>
        <r>
          <rPr>
            <b/>
            <sz val="9"/>
            <color indexed="81"/>
            <rFont val="宋体"/>
            <family val="3"/>
            <charset val="134"/>
          </rPr>
          <t>14.8-4000ps,8.19上门
11-1500ps,8.11DHL</t>
        </r>
      </text>
    </comment>
    <comment ref="S306" authorId="0" shapeId="0" xr:uid="{5F3319CA-AA8F-4B1B-A9AD-B34B48B0C3B0}">
      <text>
        <r>
          <rPr>
            <b/>
            <sz val="9"/>
            <color indexed="81"/>
            <rFont val="宋体"/>
            <family val="3"/>
            <charset val="134"/>
          </rPr>
          <t>25-0319里佣金为USD6289.50</t>
        </r>
      </text>
    </comment>
    <comment ref="O307" authorId="0" shapeId="0" xr:uid="{F1975EE7-D5B3-4DD1-A8A5-4FC6D85A3D96}">
      <text>
        <r>
          <rPr>
            <b/>
            <sz val="9"/>
            <color indexed="81"/>
            <rFont val="宋体"/>
            <family val="3"/>
            <charset val="134"/>
          </rPr>
          <t>sea freight:$2150</t>
        </r>
      </text>
    </comment>
    <comment ref="E320" authorId="0" shapeId="0" xr:uid="{8DDA3FC0-E6A1-41EA-83E9-BAF72FA7BE21}">
      <text>
        <r>
          <rPr>
            <b/>
            <sz val="9"/>
            <color indexed="81"/>
            <rFont val="宋体"/>
            <family val="3"/>
            <charset val="134"/>
          </rPr>
          <t>20250330</t>
        </r>
      </text>
    </comment>
    <comment ref="E324" authorId="0" shapeId="0" xr:uid="{7806924C-2EB2-46B5-9A1A-E96F44D2F5B0}">
      <text>
        <r>
          <rPr>
            <b/>
            <sz val="9"/>
            <color indexed="81"/>
            <rFont val="宋体"/>
            <family val="3"/>
            <charset val="134"/>
          </rPr>
          <t>20250404</t>
        </r>
      </text>
    </comment>
    <comment ref="E350" authorId="1" shapeId="0" xr:uid="{E8FB618B-D71D-46CE-BB01-B2C863F742AE}">
      <text>
        <r>
          <rPr>
            <b/>
            <sz val="9"/>
            <color indexed="81"/>
            <rFont val="宋体"/>
            <family val="3"/>
            <charset val="134"/>
          </rPr>
          <t>8/8-600PS;11/18_2110+3650PS</t>
        </r>
      </text>
    </comment>
    <comment ref="E358" authorId="1" shapeId="0" xr:uid="{66294648-0310-437A-BF89-07D1144660D7}">
      <text>
        <r>
          <rPr>
            <b/>
            <sz val="9"/>
            <color indexed="81"/>
            <rFont val="宋体"/>
            <family val="3"/>
            <charset val="134"/>
          </rPr>
          <t>8/8-600PS;11/18_2110+3650PS</t>
        </r>
      </text>
    </comment>
    <comment ref="E359" authorId="1" shapeId="0" xr:uid="{875539AC-66B9-464B-B6E8-65881BE3DB8D}">
      <text>
        <r>
          <rPr>
            <b/>
            <sz val="9"/>
            <color indexed="81"/>
            <rFont val="宋体"/>
            <family val="3"/>
            <charset val="134"/>
          </rPr>
          <t>8/8-600PS;11/18_2110+3650PS</t>
        </r>
      </text>
    </comment>
  </commentList>
</comments>
</file>

<file path=xl/sharedStrings.xml><?xml version="1.0" encoding="utf-8"?>
<sst xmlns="http://schemas.openxmlformats.org/spreadsheetml/2006/main" count="5335" uniqueCount="1169">
  <si>
    <t>Perm Machine &amp; Tool</t>
    <phoneticPr fontId="2" type="noConversion"/>
  </si>
  <si>
    <t>16231</t>
  </si>
  <si>
    <r>
      <rPr>
        <sz val="11"/>
        <color theme="1"/>
        <rFont val="微软雅黑"/>
        <family val="2"/>
        <charset val="134"/>
      </rPr>
      <t>管子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</si>
  <si>
    <t>LTG-G-1085</t>
  </si>
  <si>
    <t>1085*906</t>
  </si>
  <si>
    <r>
      <t>2270*985*1270*16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220*15+200*1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480KGS/CTN</t>
    </r>
  </si>
  <si>
    <t>Hebenstreit Metal Decorating GmbH</t>
    <phoneticPr fontId="2" type="noConversion"/>
  </si>
  <si>
    <t>08215042</t>
  </si>
  <si>
    <t>EPCCS4320004</t>
  </si>
  <si>
    <t>1200*1098</t>
  </si>
  <si>
    <r>
      <t>(1275*1280*2250)32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*240</t>
    </r>
  </si>
  <si>
    <r>
      <t>(2270*1300*1100)*11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*240 (1250*1150*1100)*1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*80</t>
    </r>
  </si>
  <si>
    <t>08215047</t>
  </si>
  <si>
    <r>
      <rPr>
        <sz val="11"/>
        <color theme="1"/>
        <rFont val="微软雅黑"/>
        <family val="2"/>
        <charset val="134"/>
      </rPr>
      <t>结构件</t>
    </r>
  </si>
  <si>
    <t>23 items</t>
  </si>
  <si>
    <t>08215209</t>
  </si>
  <si>
    <t>51 items</t>
  </si>
  <si>
    <t>08215469</t>
    <phoneticPr fontId="2" type="noConversion"/>
  </si>
  <si>
    <t>结构件</t>
    <phoneticPr fontId="2" type="noConversion"/>
  </si>
  <si>
    <t>3 items</t>
    <phoneticPr fontId="2" type="noConversion"/>
  </si>
  <si>
    <t/>
  </si>
  <si>
    <t>08215048</t>
  </si>
  <si>
    <r>
      <rPr>
        <sz val="11"/>
        <color theme="1"/>
        <rFont val="微软雅黑"/>
        <family val="2"/>
        <charset val="134"/>
      </rPr>
      <t>翻包机</t>
    </r>
  </si>
  <si>
    <r>
      <t>(2800*1900*1900)*1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宋体"/>
        <family val="2"/>
      </rPr>
      <t>配件</t>
    </r>
    <r>
      <rPr>
        <sz val="11"/>
        <color theme="1"/>
        <rFont val="Arial"/>
        <family val="2"/>
      </rPr>
      <t>1600*1300*700)*2</t>
    </r>
    <r>
      <rPr>
        <sz val="11"/>
        <color theme="1"/>
        <rFont val="宋体"/>
        <family val="2"/>
      </rPr>
      <t>箱</t>
    </r>
  </si>
  <si>
    <t>08215397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</si>
  <si>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</si>
  <si>
    <t>CG1100582-E01</t>
  </si>
  <si>
    <t>1075*1100</t>
  </si>
  <si>
    <r>
      <t>(1250*1130*1100)*1</t>
    </r>
    <r>
      <rPr>
        <sz val="11"/>
        <color theme="1"/>
        <rFont val="宋体"/>
        <family val="2"/>
      </rPr>
      <t>箱</t>
    </r>
  </si>
  <si>
    <t>KBA-MetalPrint GmbH</t>
    <phoneticPr fontId="2" type="noConversion"/>
  </si>
  <si>
    <t>2000274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</si>
  <si>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不电镀</t>
    </r>
  </si>
  <si>
    <t>A12253</t>
  </si>
  <si>
    <t>1122*1246</t>
  </si>
  <si>
    <r>
      <t>1140*1370*930*2</t>
    </r>
    <r>
      <rPr>
        <sz val="11"/>
        <color theme="1"/>
        <rFont val="宋体"/>
        <family val="2"/>
      </rPr>
      <t>箱</t>
    </r>
  </si>
  <si>
    <t>2000279</t>
  </si>
  <si>
    <t>D43552</t>
  </si>
  <si>
    <t>1065*996</t>
  </si>
  <si>
    <r>
      <t>2280*1070*1180*1</t>
    </r>
    <r>
      <rPr>
        <sz val="11"/>
        <color theme="1"/>
        <rFont val="宋体"/>
        <family val="2"/>
      </rPr>
      <t>箱</t>
    </r>
  </si>
  <si>
    <t>2000526</t>
  </si>
  <si>
    <t>A05843</t>
  </si>
  <si>
    <t>1070*906</t>
  </si>
  <si>
    <r>
      <t>2280*1010*1265*12</t>
    </r>
    <r>
      <rPr>
        <sz val="11"/>
        <color theme="1"/>
        <rFont val="宋体"/>
        <family val="2"/>
      </rPr>
      <t>箱</t>
    </r>
  </si>
  <si>
    <t>08216125</t>
  </si>
  <si>
    <r>
      <rPr>
        <sz val="11"/>
        <color theme="1"/>
        <rFont val="微软雅黑"/>
        <family val="2"/>
        <charset val="134"/>
      </rPr>
      <t>管子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电镀（泰国）</t>
    </r>
  </si>
  <si>
    <t>EPCCS4320003</t>
  </si>
  <si>
    <t>1085*1098</t>
  </si>
  <si>
    <r>
      <t>(2280*1173*1270)*14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530kgs (228*10+230*4)</t>
    </r>
  </si>
  <si>
    <t>Setec Industrievertretungen</t>
    <phoneticPr fontId="2" type="noConversion"/>
  </si>
  <si>
    <t>43311</t>
  </si>
  <si>
    <t>MG12</t>
  </si>
  <si>
    <t>1065*949</t>
  </si>
  <si>
    <r>
      <t>2110*1025*1170*1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450KGS</t>
    </r>
  </si>
  <si>
    <t>HND-00</t>
  </si>
  <si>
    <r>
      <t>1135*1173*1440*1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250KGS</t>
    </r>
  </si>
  <si>
    <t>Printworks Asia Services</t>
    <phoneticPr fontId="2" type="noConversion"/>
  </si>
  <si>
    <t>120-0308</t>
  </si>
  <si>
    <r>
      <rPr>
        <sz val="11"/>
        <color theme="1"/>
        <rFont val="微软雅黑"/>
        <family val="2"/>
        <charset val="134"/>
      </rPr>
      <t>扁铁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</si>
  <si>
    <t>LTG-HL-01-1045</t>
  </si>
  <si>
    <t>1045*910</t>
  </si>
  <si>
    <r>
      <t>2210*1000*1520*1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580KGS</t>
    </r>
  </si>
  <si>
    <t>2001702</t>
    <phoneticPr fontId="2" type="noConversion"/>
  </si>
  <si>
    <t>管子-电镀</t>
    <phoneticPr fontId="2" type="noConversion"/>
  </si>
  <si>
    <t>E40793</t>
    <phoneticPr fontId="2" type="noConversion"/>
  </si>
  <si>
    <t>1085*996</t>
    <phoneticPr fontId="2" type="noConversion"/>
  </si>
  <si>
    <t>2280*1090*1270*220ps*16ctns, 2280*1090*1070*180ps*1pc</t>
  </si>
  <si>
    <t>2001836</t>
  </si>
  <si>
    <r>
      <t>2280*1010*1265*1</t>
    </r>
    <r>
      <rPr>
        <sz val="11"/>
        <color theme="1"/>
        <rFont val="宋体"/>
        <family val="2"/>
      </rPr>
      <t>箱</t>
    </r>
  </si>
  <si>
    <t>2001874</t>
  </si>
  <si>
    <t>A22671</t>
  </si>
  <si>
    <t>1085*996</t>
  </si>
  <si>
    <r>
      <t>2280*1110*1265*4</t>
    </r>
    <r>
      <rPr>
        <sz val="11"/>
        <color theme="1"/>
        <rFont val="宋体"/>
        <family val="2"/>
      </rPr>
      <t>箱</t>
    </r>
  </si>
  <si>
    <t>2001875</t>
  </si>
  <si>
    <r>
      <t>2280*1080*1270*16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251PS/CTN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530KGS</t>
    </r>
  </si>
  <si>
    <t>2001876</t>
  </si>
  <si>
    <r>
      <t>2280*1080*1270*16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 xml:space="preserve"> 1-15:250PS/CTNS*590KGS,2280*1080*800#16:150PS*360KGS</t>
    </r>
  </si>
  <si>
    <t>2001884</t>
  </si>
  <si>
    <t>A06566</t>
  </si>
  <si>
    <t>1065*946</t>
  </si>
  <si>
    <r>
      <t>2280*1050*1220*1</t>
    </r>
    <r>
      <rPr>
        <sz val="11"/>
        <color theme="1"/>
        <rFont val="宋体"/>
        <family val="2"/>
      </rPr>
      <t>箱</t>
    </r>
  </si>
  <si>
    <t>2002304</t>
  </si>
  <si>
    <t>50/50</t>
  </si>
  <si>
    <t>X6168</t>
  </si>
  <si>
    <t>1045*906</t>
  </si>
  <si>
    <r>
      <t>2190*1080*1270*2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250PS/CTN*590KGS</t>
    </r>
  </si>
  <si>
    <t>120-0512</t>
  </si>
  <si>
    <t>TEFLON ROLLER</t>
  </si>
  <si>
    <t>OD14x ID5.4 x 3mm</t>
  </si>
  <si>
    <t>43314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</si>
  <si>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  <r>
      <rPr>
        <sz val="11"/>
        <color theme="1"/>
        <rFont val="Arial"/>
        <family val="2"/>
      </rPr>
      <t>SETEC</t>
    </r>
  </si>
  <si>
    <t>114/2</t>
  </si>
  <si>
    <r>
      <t>2200*996*1130*2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200ps/ctn*440kgs</t>
    </r>
  </si>
  <si>
    <t>114/6 A22671A</t>
  </si>
  <si>
    <r>
      <t>2280*1010*1620*2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300ps/ctn*590kgs</t>
    </r>
  </si>
  <si>
    <t>120-0514</t>
  </si>
  <si>
    <r>
      <rPr>
        <sz val="11"/>
        <color theme="1"/>
        <rFont val="微软雅黑"/>
        <family val="2"/>
        <charset val="134"/>
      </rPr>
      <t>链条滚轮</t>
    </r>
  </si>
  <si>
    <t>#42</t>
  </si>
  <si>
    <r>
      <t>650*330*520*1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136KGS</t>
    </r>
  </si>
  <si>
    <t>ENVIRONMENTAL SERVICE&amp;TECHNOLOGIES,INC</t>
    <phoneticPr fontId="2" type="noConversion"/>
  </si>
  <si>
    <t>173420-P</t>
  </si>
  <si>
    <t>EST1004</t>
  </si>
  <si>
    <t>1090*950</t>
  </si>
  <si>
    <r>
      <t>2290*1035*1520*2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300ps/ctn,680kg</t>
    </r>
  </si>
  <si>
    <t>2003673</t>
  </si>
  <si>
    <r>
      <t>2280*1080*1270*15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 xml:space="preserve"> 1-14:250PS/CTN*590KGS, 2280*1080*850#15:160PS*380KGS</t>
    </r>
  </si>
  <si>
    <t>08216494</t>
  </si>
  <si>
    <t>1085*1092</t>
  </si>
  <si>
    <r>
      <t>2280*1177*1270*12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*250ps, 520kgs</t>
    </r>
  </si>
  <si>
    <t>KIAN JOO CAN FACTORY BERHAD</t>
    <phoneticPr fontId="2" type="noConversion"/>
  </si>
  <si>
    <t>110029174/11A</t>
  </si>
  <si>
    <t>1085*1090</t>
  </si>
  <si>
    <r>
      <t>2280*1056*1520*1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610kgs</t>
    </r>
  </si>
  <si>
    <t>158718-01D</t>
  </si>
  <si>
    <t>EST1001</t>
  </si>
  <si>
    <r>
      <t>2200*990*1520*5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300ps/ctns, 700kgs</t>
    </r>
  </si>
  <si>
    <t>2004286</t>
  </si>
  <si>
    <r>
      <rPr>
        <sz val="11"/>
        <color theme="1"/>
        <rFont val="微软雅黑"/>
        <family val="2"/>
        <charset val="134"/>
      </rPr>
      <t>扁铁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不电镀</t>
    </r>
  </si>
  <si>
    <t>A63185</t>
  </si>
  <si>
    <t>1087*998</t>
  </si>
  <si>
    <r>
      <t>2284*1082*1270*4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251PS/CTN, 705KGS</t>
    </r>
  </si>
  <si>
    <t>PIKO PACK METAL PACKAGING</t>
    <phoneticPr fontId="2" type="noConversion"/>
  </si>
  <si>
    <t>616733</t>
  </si>
  <si>
    <t>2004567</t>
  </si>
  <si>
    <t>2260*990*1270*250ps*4ctns</t>
  </si>
  <si>
    <t>08216609</t>
  </si>
  <si>
    <r>
      <t>2280*1177*1270*1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*200ps, 430kgs</t>
    </r>
  </si>
  <si>
    <t>2005097</t>
  </si>
  <si>
    <r>
      <t>2200*990*1270*7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*250(20GP)</t>
    </r>
  </si>
  <si>
    <t>2005077</t>
  </si>
  <si>
    <r>
      <t>2280*1080*1270*15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*250+2280*1080*1520*1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*265(40HQ)</t>
    </r>
  </si>
  <si>
    <t>S7216</t>
  </si>
  <si>
    <r>
      <t>2200*990*1270*4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*250ps</t>
    </r>
  </si>
  <si>
    <t>CIF30/balance before shipment</t>
  </si>
  <si>
    <t>LTG-HL-04-1045</t>
  </si>
  <si>
    <t>1045*907</t>
  </si>
  <si>
    <r>
      <t>2200*990*1270*14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*220</t>
    </r>
    <r>
      <rPr>
        <sz val="11"/>
        <color theme="1"/>
        <rFont val="宋体"/>
        <family val="2"/>
      </rPr>
      <t>只；</t>
    </r>
    <r>
      <rPr>
        <sz val="11"/>
        <color theme="1"/>
        <rFont val="Arial"/>
        <family val="2"/>
      </rPr>
      <t>2200*990*770*1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*120</t>
    </r>
    <r>
      <rPr>
        <sz val="11"/>
        <color theme="1"/>
        <rFont val="宋体"/>
        <family val="2"/>
      </rPr>
      <t>只（</t>
    </r>
    <r>
      <rPr>
        <sz val="11"/>
        <color theme="1"/>
        <rFont val="Arial"/>
        <family val="2"/>
      </rPr>
      <t>40HQ)</t>
    </r>
  </si>
  <si>
    <t>2005800</t>
  </si>
  <si>
    <t>D43231A</t>
  </si>
  <si>
    <r>
      <t>1260*1070*1120*1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*100</t>
    </r>
    <r>
      <rPr>
        <sz val="11"/>
        <color theme="1"/>
        <rFont val="宋体"/>
        <family val="2"/>
      </rPr>
      <t>只</t>
    </r>
  </si>
  <si>
    <t>2006017</t>
  </si>
  <si>
    <t>D43552D</t>
  </si>
  <si>
    <r>
      <t>2240*1080*1270*14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</t>
    </r>
  </si>
  <si>
    <t>INDUSTRIAL LITOGRAFICA SA DE CV</t>
    <phoneticPr fontId="2" type="noConversion"/>
  </si>
  <si>
    <t>20200918</t>
  </si>
  <si>
    <t>MARCO 4P</t>
  </si>
  <si>
    <t>936*840</t>
  </si>
  <si>
    <t>1771-20P-01</t>
  </si>
  <si>
    <t>WF1004</t>
  </si>
  <si>
    <t>845*1030</t>
  </si>
  <si>
    <r>
      <t>1810*1160*1370*4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128*3+116=500ps), 502kgs</t>
    </r>
  </si>
  <si>
    <t>2007118</t>
  </si>
  <si>
    <t>X7822</t>
  </si>
  <si>
    <t>120-1036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</si>
  <si>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  <r>
      <rPr>
        <sz val="11"/>
        <color theme="1"/>
        <rFont val="Arial"/>
        <family val="2"/>
      </rPr>
      <t>/22Teflon rollers</t>
    </r>
  </si>
  <si>
    <t>CNY92</t>
  </si>
  <si>
    <t>1045*905</t>
  </si>
  <si>
    <t>2007851</t>
  </si>
  <si>
    <t>Y3041</t>
  </si>
  <si>
    <t>2250*981*1270*14*250+1145*981*1670*1*150</t>
  </si>
  <si>
    <t>120-1037</t>
  </si>
  <si>
    <r>
      <rPr>
        <sz val="11"/>
        <color theme="1"/>
        <rFont val="微软雅黑"/>
        <family val="2"/>
        <charset val="134"/>
      </rPr>
      <t>永富容器</t>
    </r>
    <r>
      <rPr>
        <sz val="11"/>
        <color theme="1"/>
        <rFont val="Arial"/>
        <family val="2"/>
      </rPr>
      <t>(</t>
    </r>
    <r>
      <rPr>
        <sz val="11"/>
        <color theme="1"/>
        <rFont val="微软雅黑"/>
        <family val="2"/>
        <charset val="134"/>
      </rPr>
      <t>香港</t>
    </r>
    <r>
      <rPr>
        <sz val="11"/>
        <color theme="1"/>
        <rFont val="Arial"/>
        <family val="2"/>
      </rPr>
      <t>)</t>
    </r>
    <r>
      <rPr>
        <sz val="11"/>
        <color theme="1"/>
        <rFont val="微软雅黑"/>
        <family val="2"/>
        <charset val="134"/>
      </rPr>
      <t>有限公司</t>
    </r>
    <phoneticPr fontId="2" type="noConversion"/>
  </si>
  <si>
    <t>OP222000942</t>
  </si>
  <si>
    <t>SPT07-003090</t>
  </si>
  <si>
    <t>1065*950</t>
  </si>
  <si>
    <r>
      <t>2240*1020*1040*2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450KGS/BOX</t>
    </r>
  </si>
  <si>
    <t>2008236</t>
  </si>
  <si>
    <r>
      <t>2268*1082*1270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5*170+1*150</t>
    </r>
    <r>
      <rPr>
        <sz val="11"/>
        <color theme="1"/>
        <rFont val="宋体"/>
        <family val="2"/>
      </rPr>
      <t>）</t>
    </r>
  </si>
  <si>
    <r>
      <t>2200*990*1270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4*250</t>
    </r>
    <r>
      <rPr>
        <sz val="11"/>
        <color theme="1"/>
        <rFont val="宋体"/>
        <family val="2"/>
      </rPr>
      <t>）</t>
    </r>
  </si>
  <si>
    <t>E50828</t>
  </si>
  <si>
    <t>1045*518</t>
  </si>
  <si>
    <r>
      <rPr>
        <sz val="11"/>
        <color theme="1"/>
        <rFont val="微软雅黑"/>
        <family val="2"/>
        <charset val="134"/>
      </rPr>
      <t>管子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不电镀</t>
    </r>
  </si>
  <si>
    <t>2008361</t>
  </si>
  <si>
    <r>
      <t>2280*1080*1270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11*250+1*240</t>
    </r>
    <r>
      <rPr>
        <sz val="11"/>
        <color theme="1"/>
        <rFont val="宋体"/>
        <family val="2"/>
      </rPr>
      <t>）</t>
    </r>
  </si>
  <si>
    <t>2008362</t>
  </si>
  <si>
    <r>
      <t>2280*1080*1170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1*200</t>
    </r>
    <r>
      <rPr>
        <sz val="11"/>
        <color theme="1"/>
        <rFont val="宋体"/>
        <family val="2"/>
      </rPr>
      <t>）</t>
    </r>
  </si>
  <si>
    <t>2008644</t>
  </si>
  <si>
    <t>2250*990*1270*12ps</t>
  </si>
  <si>
    <t>2008645</t>
  </si>
  <si>
    <t>A22227</t>
  </si>
  <si>
    <t>2280*990*1270*1pc</t>
  </si>
  <si>
    <t>2008773</t>
  </si>
  <si>
    <t>A05844</t>
  </si>
  <si>
    <r>
      <t>2250*990*1270*29</t>
    </r>
    <r>
      <rPr>
        <sz val="11"/>
        <color theme="1"/>
        <rFont val="宋体"/>
        <family val="2"/>
      </rPr>
      <t>箱</t>
    </r>
  </si>
  <si>
    <t>S7363</t>
  </si>
  <si>
    <t>FEDEX772261460789</t>
  </si>
  <si>
    <t>PEEK CLIPS</t>
  </si>
  <si>
    <t>NA</t>
  </si>
  <si>
    <t>2009022</t>
  </si>
  <si>
    <r>
      <t>1145*990*1570*1</t>
    </r>
    <r>
      <rPr>
        <sz val="11"/>
        <color theme="1"/>
        <rFont val="宋体"/>
        <family val="2"/>
      </rPr>
      <t>箱</t>
    </r>
  </si>
  <si>
    <r>
      <t>1145*990*670*1</t>
    </r>
    <r>
      <rPr>
        <sz val="11"/>
        <color theme="1"/>
        <rFont val="宋体"/>
        <family val="2"/>
      </rPr>
      <t>箱</t>
    </r>
  </si>
  <si>
    <t>S7375</t>
  </si>
  <si>
    <t>FEDEX772368889536</t>
  </si>
  <si>
    <t>1701-2020</t>
  </si>
  <si>
    <r>
      <t>2280*1180*1420*1</t>
    </r>
    <r>
      <rPr>
        <sz val="11"/>
        <color theme="1"/>
        <rFont val="宋体"/>
        <family val="2"/>
      </rPr>
      <t>箱</t>
    </r>
  </si>
  <si>
    <t>120-1241</t>
  </si>
  <si>
    <r>
      <t>Sfeat-</t>
    </r>
    <r>
      <rPr>
        <sz val="11"/>
        <color theme="1"/>
        <rFont val="微软雅黑"/>
        <family val="2"/>
        <charset val="134"/>
      </rPr>
      <t>电镀</t>
    </r>
  </si>
  <si>
    <t>CNY90</t>
  </si>
  <si>
    <r>
      <t>1650*1100*1420*1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500KGS</t>
    </r>
  </si>
  <si>
    <t>Standard Can Co., Ltd</t>
    <phoneticPr fontId="2" type="noConversion"/>
  </si>
  <si>
    <t>2007943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</si>
  <si>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+16PS</t>
    </r>
    <r>
      <rPr>
        <sz val="11"/>
        <color theme="1"/>
        <rFont val="微软雅黑"/>
        <family val="2"/>
        <charset val="134"/>
      </rPr>
      <t>滚轮</t>
    </r>
  </si>
  <si>
    <t>1085*910</t>
  </si>
  <si>
    <t>1160*985*1170(250kgs)</t>
  </si>
  <si>
    <t>DHL2222499624</t>
  </si>
  <si>
    <t>E51630</t>
  </si>
  <si>
    <t>1120*1040*250*1ctns, 15kgs</t>
  </si>
  <si>
    <t>08216948</t>
    <phoneticPr fontId="2" type="noConversion"/>
  </si>
  <si>
    <t>1085*1096</t>
    <phoneticPr fontId="2" type="noConversion"/>
  </si>
  <si>
    <t>2285*1180*1170*1箱</t>
  </si>
  <si>
    <t>2100452</t>
  </si>
  <si>
    <t>A96008</t>
  </si>
  <si>
    <t>2280*1172*1070*1ctn</t>
  </si>
  <si>
    <t>121-0203</t>
  </si>
  <si>
    <t>LTG-HL-02-1045</t>
  </si>
  <si>
    <t>1045*518/CNY75</t>
  </si>
  <si>
    <r>
      <t>2210*988*1270*12</t>
    </r>
    <r>
      <rPr>
        <sz val="11"/>
        <color theme="1"/>
        <rFont val="宋体"/>
        <family val="2"/>
      </rPr>
      <t>箱</t>
    </r>
  </si>
  <si>
    <t>08216983</t>
  </si>
  <si>
    <r>
      <t>2285*1182*1270*2</t>
    </r>
    <r>
      <rPr>
        <sz val="11"/>
        <color theme="1"/>
        <rFont val="宋体"/>
        <family val="2"/>
      </rPr>
      <t>箱</t>
    </r>
  </si>
  <si>
    <t>2101496</t>
  </si>
  <si>
    <r>
      <t>2280*1080*1270*8</t>
    </r>
    <r>
      <rPr>
        <sz val="11"/>
        <color theme="1"/>
        <rFont val="宋体"/>
        <family val="2"/>
      </rPr>
      <t>箱</t>
    </r>
  </si>
  <si>
    <r>
      <t>2280*1080*1270*1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250</t>
    </r>
    <r>
      <rPr>
        <sz val="11"/>
        <color theme="1"/>
        <rFont val="宋体"/>
        <family val="2"/>
      </rPr>
      <t>只），</t>
    </r>
    <r>
      <rPr>
        <sz val="11"/>
        <color theme="1"/>
        <rFont val="Arial"/>
        <family val="2"/>
      </rPr>
      <t>2280*1080*1120*1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200</t>
    </r>
    <r>
      <rPr>
        <sz val="11"/>
        <color theme="1"/>
        <rFont val="宋体"/>
        <family val="2"/>
      </rPr>
      <t>只）</t>
    </r>
  </si>
  <si>
    <t>TNT GD978430170WW</t>
  </si>
  <si>
    <t>24*42</t>
  </si>
  <si>
    <r>
      <t>1165*1182*1120*1</t>
    </r>
    <r>
      <rPr>
        <sz val="11"/>
        <color theme="1"/>
        <rFont val="宋体"/>
        <family val="2"/>
      </rPr>
      <t>箱</t>
    </r>
  </si>
  <si>
    <t>2102157</t>
  </si>
  <si>
    <t>E52798</t>
  </si>
  <si>
    <r>
      <t>2285*1082*1270*4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184</t>
    </r>
    <r>
      <rPr>
        <sz val="11"/>
        <color theme="1"/>
        <rFont val="宋体"/>
        <family val="2"/>
      </rPr>
      <t>只），</t>
    </r>
    <r>
      <rPr>
        <sz val="11"/>
        <color theme="1"/>
        <rFont val="Arial"/>
        <family val="2"/>
      </rPr>
      <t>2285*1082*1170*2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132</t>
    </r>
    <r>
      <rPr>
        <sz val="11"/>
        <color theme="1"/>
        <rFont val="宋体"/>
        <family val="2"/>
      </rPr>
      <t>只）</t>
    </r>
  </si>
  <si>
    <t>2102495</t>
  </si>
  <si>
    <r>
      <t>2200*990*1270*8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250</t>
    </r>
    <r>
      <rPr>
        <sz val="11"/>
        <color theme="1"/>
        <rFont val="宋体"/>
        <family val="2"/>
      </rPr>
      <t>只）</t>
    </r>
  </si>
  <si>
    <t>179821-01</t>
    <phoneticPr fontId="2" type="noConversion"/>
  </si>
  <si>
    <t>扁铁-电镀</t>
    <phoneticPr fontId="2" type="noConversion"/>
  </si>
  <si>
    <t>F1001</t>
    <phoneticPr fontId="2" type="noConversion"/>
  </si>
  <si>
    <t>1050*845</t>
    <phoneticPr fontId="2" type="noConversion"/>
  </si>
  <si>
    <t>930*1270*1190*8箱(3.3kgs/pc)</t>
  </si>
  <si>
    <t>2102726</t>
  </si>
  <si>
    <r>
      <rPr>
        <sz val="11"/>
        <color theme="1"/>
        <rFont val="微软雅黑"/>
        <family val="2"/>
        <charset val="134"/>
      </rPr>
      <t>烘房墙板</t>
    </r>
  </si>
  <si>
    <t>144ps/10crates,49.50cbm,17500kgs/16950kgs</t>
  </si>
  <si>
    <t>Globalnet Consulting and sales Ltd</t>
    <phoneticPr fontId="2" type="noConversion"/>
  </si>
  <si>
    <t>640391</t>
  </si>
  <si>
    <r>
      <t>2200*980*1270*2</t>
    </r>
    <r>
      <rPr>
        <sz val="11"/>
        <color theme="1"/>
        <rFont val="宋体"/>
        <family val="2"/>
      </rPr>
      <t>箱</t>
    </r>
  </si>
  <si>
    <t>2103349</t>
  </si>
  <si>
    <r>
      <t>2280*1080*1070*1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200</t>
    </r>
    <r>
      <rPr>
        <sz val="11"/>
        <color theme="1"/>
        <rFont val="宋体"/>
        <family val="2"/>
      </rPr>
      <t>只）</t>
    </r>
  </si>
  <si>
    <t>PT. INDONESIA MULTI COLOUR PRINTING</t>
    <phoneticPr fontId="2" type="noConversion"/>
  </si>
  <si>
    <t>PRY/CX5/028/05/21</t>
  </si>
  <si>
    <t>A22671-21peek roller</t>
  </si>
  <si>
    <t>1070*518</t>
  </si>
  <si>
    <r>
      <t>2250*1015*1270*16</t>
    </r>
    <r>
      <rPr>
        <sz val="11"/>
        <color theme="1"/>
        <rFont val="宋体"/>
        <family val="2"/>
      </rPr>
      <t>箱</t>
    </r>
  </si>
  <si>
    <t>2103424</t>
  </si>
  <si>
    <r>
      <t>2280*1070*1270*14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只，</t>
    </r>
    <r>
      <rPr>
        <sz val="11"/>
        <color theme="1"/>
        <rFont val="Arial"/>
        <family val="2"/>
      </rPr>
      <t>2280*1070*870*1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*150</t>
    </r>
    <r>
      <rPr>
        <sz val="11"/>
        <color theme="1"/>
        <rFont val="宋体"/>
        <family val="2"/>
      </rPr>
      <t>只</t>
    </r>
  </si>
  <si>
    <t>17821</t>
  </si>
  <si>
    <t>LTG-04-1045</t>
  </si>
  <si>
    <r>
      <t>2200*987*1270*14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*220</t>
    </r>
    <r>
      <rPr>
        <sz val="11"/>
        <color theme="1"/>
        <rFont val="宋体"/>
        <family val="2"/>
      </rPr>
      <t>只，</t>
    </r>
    <r>
      <rPr>
        <sz val="11"/>
        <color theme="1"/>
        <rFont val="Arial"/>
        <family val="2"/>
      </rPr>
      <t>2200*987*1070*2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*160</t>
    </r>
    <r>
      <rPr>
        <sz val="11"/>
        <color theme="1"/>
        <rFont val="宋体"/>
        <family val="2"/>
      </rPr>
      <t>只</t>
    </r>
  </si>
  <si>
    <t>PRY/CX4/029/05/21</t>
  </si>
  <si>
    <r>
      <t>SERVO</t>
    </r>
    <r>
      <rPr>
        <sz val="11"/>
        <color theme="1"/>
        <rFont val="微软雅黑"/>
        <family val="2"/>
        <charset val="134"/>
      </rPr>
      <t>伺服</t>
    </r>
  </si>
  <si>
    <t>181421-01</t>
  </si>
  <si>
    <t>F1010</t>
  </si>
  <si>
    <t>1023*820</t>
  </si>
  <si>
    <r>
      <t>1860*1185*1270*4</t>
    </r>
    <r>
      <rPr>
        <sz val="11"/>
        <color theme="1"/>
        <rFont val="宋体"/>
        <family val="2"/>
      </rPr>
      <t>箱</t>
    </r>
  </si>
  <si>
    <t>2104437</t>
  </si>
  <si>
    <t>E13266</t>
  </si>
  <si>
    <t>700*518</t>
  </si>
  <si>
    <r>
      <t>600*780*430*1</t>
    </r>
    <r>
      <rPr>
        <sz val="11"/>
        <color theme="1"/>
        <rFont val="宋体"/>
        <family val="2"/>
      </rPr>
      <t>箱</t>
    </r>
  </si>
  <si>
    <t>08217164</t>
  </si>
  <si>
    <r>
      <t>2280*1182*1170*1</t>
    </r>
    <r>
      <rPr>
        <sz val="11"/>
        <color theme="1"/>
        <rFont val="宋体"/>
        <family val="2"/>
      </rPr>
      <t>箱</t>
    </r>
  </si>
  <si>
    <t>20210624</t>
  </si>
  <si>
    <r>
      <rPr>
        <sz val="11"/>
        <color theme="1"/>
        <rFont val="微软雅黑"/>
        <family val="2"/>
        <charset val="134"/>
      </rPr>
      <t>链条托架</t>
    </r>
  </si>
  <si>
    <t>2104767</t>
  </si>
  <si>
    <r>
      <t>2190*930*1100*14</t>
    </r>
    <r>
      <rPr>
        <sz val="11"/>
        <color theme="1"/>
        <rFont val="宋体"/>
        <family val="2"/>
      </rPr>
      <t>箱</t>
    </r>
  </si>
  <si>
    <t>Y1886</t>
  </si>
  <si>
    <r>
      <t>2220*1020*1100*6</t>
    </r>
    <r>
      <rPr>
        <sz val="11"/>
        <color theme="1"/>
        <rFont val="宋体"/>
        <family val="2"/>
      </rPr>
      <t>箱</t>
    </r>
  </si>
  <si>
    <t>2104768</t>
  </si>
  <si>
    <r>
      <t>2220*1020*900*1</t>
    </r>
    <r>
      <rPr>
        <sz val="11"/>
        <color theme="1"/>
        <rFont val="宋体"/>
        <family val="2"/>
      </rPr>
      <t>箱</t>
    </r>
  </si>
  <si>
    <t>2104869</t>
  </si>
  <si>
    <r>
      <t>2140*930*1100*4</t>
    </r>
    <r>
      <rPr>
        <sz val="11"/>
        <color theme="1"/>
        <rFont val="宋体"/>
        <family val="2"/>
      </rPr>
      <t>箱</t>
    </r>
  </si>
  <si>
    <t>2105346</t>
  </si>
  <si>
    <r>
      <t>2225*1022*1100*10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*180</t>
    </r>
    <r>
      <rPr>
        <sz val="11"/>
        <color theme="1"/>
        <rFont val="宋体"/>
        <family val="2"/>
      </rPr>
      <t>只，</t>
    </r>
    <r>
      <rPr>
        <sz val="11"/>
        <color theme="1"/>
        <rFont val="Arial"/>
        <family val="2"/>
      </rPr>
      <t>2225*1022*1400*1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*200</t>
    </r>
    <r>
      <rPr>
        <sz val="11"/>
        <color theme="1"/>
        <rFont val="宋体"/>
        <family val="2"/>
      </rPr>
      <t>只</t>
    </r>
  </si>
  <si>
    <t>OP222100478</t>
  </si>
  <si>
    <r>
      <t>2240*1040*1120*1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450KGS</t>
    </r>
    <r>
      <rPr>
        <sz val="11"/>
        <color theme="1"/>
        <rFont val="宋体"/>
        <family val="2"/>
      </rPr>
      <t>，截止</t>
    </r>
    <r>
      <rPr>
        <sz val="11"/>
        <color theme="1"/>
        <rFont val="Arial"/>
        <family val="2"/>
      </rPr>
      <t>9.30</t>
    </r>
    <r>
      <rPr>
        <sz val="11"/>
        <color theme="1"/>
        <rFont val="宋体"/>
        <family val="2"/>
      </rPr>
      <t>已送至工厂</t>
    </r>
  </si>
  <si>
    <t>2105733</t>
  </si>
  <si>
    <r>
      <t>2220*1020*1100*8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</t>
    </r>
  </si>
  <si>
    <t>2106173</t>
  </si>
  <si>
    <t>TNT GD308195297WW</t>
  </si>
  <si>
    <t>2106605</t>
  </si>
  <si>
    <r>
      <t>2280*1080*1270*13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1160*1080*870*1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*70</t>
    </r>
  </si>
  <si>
    <t>2106996</t>
    <phoneticPr fontId="2" type="noConversion"/>
  </si>
  <si>
    <t>50/50</t>
    <phoneticPr fontId="2" type="noConversion"/>
  </si>
  <si>
    <t>2280*1080*2020*3箱</t>
  </si>
  <si>
    <t>121-0923</t>
  </si>
  <si>
    <t>CNY790</t>
  </si>
  <si>
    <t>20*50mm*4m</t>
  </si>
  <si>
    <r>
      <t>3240*355*360*1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725KGS</t>
    </r>
    <r>
      <rPr>
        <sz val="11"/>
        <color theme="1"/>
        <rFont val="宋体"/>
        <family val="2"/>
      </rPr>
      <t>（</t>
    </r>
    <r>
      <rPr>
        <sz val="11"/>
        <color theme="1"/>
        <rFont val="Arial"/>
        <family val="2"/>
      </rPr>
      <t>N.W.: 695KGS),30PS</t>
    </r>
  </si>
  <si>
    <t>18116</t>
  </si>
  <si>
    <t>HTB PARRILLA</t>
  </si>
  <si>
    <t>996*1110</t>
  </si>
  <si>
    <r>
      <t>2290*1085*1270*4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</t>
    </r>
  </si>
  <si>
    <t>110039030/11A</t>
  </si>
  <si>
    <t>KBA1085</t>
  </si>
  <si>
    <r>
      <t>2280*1080*1420mm*2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只，</t>
    </r>
    <r>
      <rPr>
        <sz val="11"/>
        <color theme="1"/>
        <rFont val="Arial"/>
        <family val="2"/>
      </rPr>
      <t>650kgs</t>
    </r>
  </si>
  <si>
    <t>17035</t>
  </si>
  <si>
    <t>DWG692020</t>
  </si>
  <si>
    <t>1050*785</t>
  </si>
  <si>
    <r>
      <t>2150*872*1670*1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*300</t>
    </r>
    <r>
      <rPr>
        <sz val="11"/>
        <color theme="1"/>
        <rFont val="宋体"/>
        <family val="2"/>
      </rPr>
      <t>只</t>
    </r>
  </si>
  <si>
    <t>121-0927</t>
  </si>
  <si>
    <t>CNY28</t>
  </si>
  <si>
    <t>40*32</t>
  </si>
  <si>
    <r>
      <t>500*400*640*1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133kgs</t>
    </r>
  </si>
  <si>
    <t>2107642</t>
  </si>
  <si>
    <r>
      <t>2280*1080*1270*1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</si>
  <si>
    <t>Aik Joo Can Factory Sdn Bhd</t>
    <phoneticPr fontId="2" type="noConversion"/>
  </si>
  <si>
    <t>PAB2101209</t>
  </si>
  <si>
    <r>
      <rPr>
        <sz val="11"/>
        <color theme="1"/>
        <rFont val="微软雅黑"/>
        <family val="2"/>
        <charset val="134"/>
      </rPr>
      <t>链条滚轮（进口）</t>
    </r>
  </si>
  <si>
    <t>42*24*10</t>
  </si>
  <si>
    <r>
      <t>600*500*280*1</t>
    </r>
    <r>
      <rPr>
        <sz val="11"/>
        <color theme="1"/>
        <rFont val="宋体"/>
        <family val="2"/>
      </rPr>
      <t>箱</t>
    </r>
  </si>
  <si>
    <r>
      <t>2200*1080*1420*2</t>
    </r>
    <r>
      <rPr>
        <sz val="11"/>
        <color theme="1"/>
        <rFont val="宋体"/>
        <family val="2"/>
      </rPr>
      <t>箱</t>
    </r>
  </si>
  <si>
    <t>2107814</t>
  </si>
  <si>
    <r>
      <t>2250*990*1270*1</t>
    </r>
    <r>
      <rPr>
        <sz val="11"/>
        <color theme="1"/>
        <rFont val="宋体"/>
        <family val="2"/>
      </rPr>
      <t>箱</t>
    </r>
  </si>
  <si>
    <r>
      <t>2280*1080*1270*1</t>
    </r>
    <r>
      <rPr>
        <sz val="11"/>
        <color theme="1"/>
        <rFont val="宋体"/>
        <family val="2"/>
      </rPr>
      <t>箱</t>
    </r>
  </si>
  <si>
    <r>
      <t>2250*990*1270*2</t>
    </r>
    <r>
      <rPr>
        <sz val="11"/>
        <color theme="1"/>
        <rFont val="宋体"/>
        <family val="2"/>
      </rPr>
      <t>箱</t>
    </r>
  </si>
  <si>
    <t>2108217</t>
  </si>
  <si>
    <r>
      <t>2200*990*1270*14</t>
    </r>
    <r>
      <rPr>
        <sz val="11"/>
        <color theme="1"/>
        <rFont val="宋体"/>
        <family val="2"/>
      </rPr>
      <t>箱</t>
    </r>
  </si>
  <si>
    <t>110039835</t>
  </si>
  <si>
    <r>
      <t>800*620*300*1</t>
    </r>
    <r>
      <rPr>
        <sz val="11"/>
        <color theme="1"/>
        <rFont val="宋体"/>
        <family val="2"/>
      </rPr>
      <t>箱</t>
    </r>
  </si>
  <si>
    <t>23918</t>
  </si>
  <si>
    <t>CNY85</t>
  </si>
  <si>
    <t>1080*920</t>
  </si>
  <si>
    <r>
      <t>2270*1005*1270*14</t>
    </r>
    <r>
      <rPr>
        <sz val="11"/>
        <color theme="1"/>
        <rFont val="宋体"/>
        <family val="2"/>
      </rPr>
      <t>箱（</t>
    </r>
    <r>
      <rPr>
        <sz val="11"/>
        <color theme="1"/>
        <rFont val="Arial"/>
        <family val="2"/>
      </rPr>
      <t>8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*216PS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4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214PS, 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210PS</t>
    </r>
    <r>
      <rPr>
        <sz val="11"/>
        <color theme="1"/>
        <rFont val="宋体"/>
        <family val="2"/>
      </rPr>
      <t>）</t>
    </r>
  </si>
  <si>
    <t>121-1133</t>
  </si>
  <si>
    <r>
      <t>PEEK</t>
    </r>
    <r>
      <rPr>
        <sz val="11"/>
        <color theme="1"/>
        <rFont val="微软雅黑"/>
        <family val="2"/>
        <charset val="134"/>
      </rPr>
      <t>炉架滚轮</t>
    </r>
  </si>
  <si>
    <r>
      <t>CNY1.85+</t>
    </r>
    <r>
      <rPr>
        <sz val="13"/>
        <color theme="1"/>
        <rFont val="微软雅黑"/>
        <family val="2"/>
        <charset val="134"/>
      </rPr>
      <t>壹度物流</t>
    </r>
    <r>
      <rPr>
        <sz val="13"/>
        <color theme="1"/>
        <rFont val="Arial"/>
        <family val="2"/>
      </rPr>
      <t>50</t>
    </r>
  </si>
  <si>
    <t>OD13*ID5*T2.8</t>
  </si>
  <si>
    <t>2109195</t>
  </si>
  <si>
    <t>184921-01</t>
  </si>
  <si>
    <r>
      <t>1860*1185*1270*25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3.4KG/PC</t>
    </r>
  </si>
  <si>
    <t>TNT 153505666</t>
  </si>
  <si>
    <t>08217319</t>
  </si>
  <si>
    <r>
      <t>1170*985*1170*1</t>
    </r>
    <r>
      <rPr>
        <sz val="11"/>
        <color theme="1"/>
        <rFont val="宋体"/>
        <family val="2"/>
      </rPr>
      <t>箱</t>
    </r>
  </si>
  <si>
    <t>2109597</t>
  </si>
  <si>
    <t>E56437</t>
  </si>
  <si>
    <r>
      <t>2250*990*1270*14</t>
    </r>
    <r>
      <rPr>
        <sz val="11"/>
        <color theme="1"/>
        <rFont val="宋体"/>
        <family val="2"/>
      </rPr>
      <t>箱</t>
    </r>
  </si>
  <si>
    <t>110041558</t>
  </si>
  <si>
    <r>
      <t>795*615*560*1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250kgs</t>
    </r>
  </si>
  <si>
    <t>110041579</t>
  </si>
  <si>
    <t>2200500</t>
  </si>
  <si>
    <r>
      <t>2280*1080*1270*20</t>
    </r>
    <r>
      <rPr>
        <sz val="11"/>
        <color theme="1"/>
        <rFont val="宋体"/>
        <family val="2"/>
      </rPr>
      <t>箱</t>
    </r>
  </si>
  <si>
    <t>2200528</t>
  </si>
  <si>
    <r>
      <t>2200*990*1270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 xml:space="preserve"> 250ps*6boxes</t>
    </r>
  </si>
  <si>
    <t>2200668</t>
  </si>
  <si>
    <t>1065*976</t>
  </si>
  <si>
    <t>2240*1060*1270,  250ps*2boxes</t>
    <phoneticPr fontId="2" type="noConversion"/>
  </si>
  <si>
    <t>2200387</t>
  </si>
  <si>
    <r>
      <rPr>
        <sz val="11"/>
        <color theme="1"/>
        <rFont val="等线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不电镀</t>
    </r>
    <phoneticPr fontId="2" type="noConversion"/>
  </si>
  <si>
    <t>D02561</t>
  </si>
  <si>
    <r>
      <t>1510*588*1270*1</t>
    </r>
    <r>
      <rPr>
        <sz val="11"/>
        <color theme="1"/>
        <rFont val="宋体"/>
        <family val="2"/>
      </rPr>
      <t>箱</t>
    </r>
  </si>
  <si>
    <t>2201083</t>
  </si>
  <si>
    <t>2280*1080*1270*26*250ps*26crates+2280*1080*870*140ps*1crate</t>
  </si>
  <si>
    <t>IMP0120222</t>
  </si>
  <si>
    <t>30/70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</si>
  <si>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电镀带</t>
    </r>
    <r>
      <rPr>
        <sz val="11"/>
        <color theme="1"/>
        <rFont val="Arial"/>
        <family val="2"/>
      </rPr>
      <t>23PS</t>
    </r>
    <r>
      <rPr>
        <sz val="11"/>
        <color theme="1"/>
        <rFont val="微软雅黑"/>
        <family val="2"/>
        <charset val="134"/>
      </rPr>
      <t>滚轮</t>
    </r>
  </si>
  <si>
    <t>YN-D-00</t>
  </si>
  <si>
    <r>
      <t>2280*1080*1270*33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*240</t>
    </r>
    <r>
      <rPr>
        <sz val="11"/>
        <color theme="1"/>
        <rFont val="宋体"/>
        <family val="2"/>
      </rPr>
      <t>只</t>
    </r>
    <r>
      <rPr>
        <sz val="11"/>
        <color theme="1"/>
        <rFont val="Arial"/>
        <family val="2"/>
      </rPr>
      <t xml:space="preserve"> 1170*1080*1170*1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*80</t>
    </r>
    <r>
      <rPr>
        <sz val="11"/>
        <color theme="1"/>
        <rFont val="宋体"/>
        <family val="2"/>
      </rPr>
      <t>只</t>
    </r>
    <r>
      <rPr>
        <sz val="11"/>
        <color theme="1"/>
        <rFont val="Arial"/>
        <family val="2"/>
      </rPr>
      <t xml:space="preserve"> 1000*1000*1000*1</t>
    </r>
    <r>
      <rPr>
        <sz val="11"/>
        <color theme="1"/>
        <rFont val="宋体"/>
        <family val="2"/>
      </rPr>
      <t>箱配件</t>
    </r>
  </si>
  <si>
    <t>20220218</t>
  </si>
  <si>
    <t>PEEK ROLLER</t>
  </si>
  <si>
    <t>OSI-USA</t>
  </si>
  <si>
    <t>DHL 9160507134(USD10/PC)</t>
  </si>
  <si>
    <r>
      <rPr>
        <sz val="11"/>
        <color theme="1"/>
        <rFont val="微软雅黑"/>
        <family val="2"/>
        <charset val="134"/>
      </rPr>
      <t>扁铁炉架</t>
    </r>
  </si>
  <si>
    <t>D52447</t>
  </si>
  <si>
    <r>
      <rPr>
        <sz val="11"/>
        <color theme="1"/>
        <rFont val="微软雅黑"/>
        <family val="2"/>
        <charset val="134"/>
      </rPr>
      <t>寄德国</t>
    </r>
    <r>
      <rPr>
        <sz val="11"/>
        <color theme="1"/>
        <rFont val="Arial"/>
        <family val="2"/>
      </rPr>
      <t>KBA</t>
    </r>
  </si>
  <si>
    <t>1120*980*80, 19KGS</t>
  </si>
  <si>
    <t>Fedex 776106424632(USD10/PC)</t>
  </si>
  <si>
    <r>
      <rPr>
        <sz val="11"/>
        <color theme="1"/>
        <rFont val="微软雅黑"/>
        <family val="2"/>
        <charset val="134"/>
      </rPr>
      <t>寄美国</t>
    </r>
    <r>
      <rPr>
        <sz val="11"/>
        <color theme="1"/>
        <rFont val="Arial"/>
        <family val="2"/>
      </rPr>
      <t>KBA</t>
    </r>
  </si>
  <si>
    <t>1120*980*110, 30KGS</t>
  </si>
  <si>
    <t>2201562</t>
  </si>
  <si>
    <r>
      <rPr>
        <sz val="11"/>
        <color theme="1"/>
        <rFont val="微软雅黑"/>
        <family val="2"/>
        <charset val="134"/>
      </rPr>
      <t>双拼槽钢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不电镀</t>
    </r>
  </si>
  <si>
    <r>
      <t>1360*1150*270=20</t>
    </r>
    <r>
      <rPr>
        <sz val="11"/>
        <color theme="1"/>
        <rFont val="微软雅黑"/>
        <family val="2"/>
        <charset val="134"/>
      </rPr>
      <t>只（高）</t>
    </r>
  </si>
  <si>
    <r>
      <t>4.2KG/PC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1410*1200*1170*2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*70</t>
    </r>
    <r>
      <rPr>
        <sz val="11"/>
        <color theme="1"/>
        <rFont val="宋体"/>
        <family val="2"/>
      </rPr>
      <t>只</t>
    </r>
    <r>
      <rPr>
        <sz val="11"/>
        <color theme="1"/>
        <rFont val="Arial"/>
        <family val="2"/>
      </rPr>
      <t>/78</t>
    </r>
    <r>
      <rPr>
        <sz val="11"/>
        <color theme="1"/>
        <rFont val="宋体"/>
        <family val="2"/>
      </rPr>
      <t>只，</t>
    </r>
    <r>
      <rPr>
        <sz val="11"/>
        <color theme="1"/>
        <rFont val="Arial"/>
        <family val="2"/>
      </rPr>
      <t>1420*880*1400*1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*52</t>
    </r>
    <r>
      <rPr>
        <sz val="11"/>
        <color theme="1"/>
        <rFont val="宋体"/>
        <family val="2"/>
      </rPr>
      <t>只</t>
    </r>
  </si>
  <si>
    <t>110041891</t>
  </si>
  <si>
    <r>
      <rPr>
        <sz val="11"/>
        <color theme="1"/>
        <rFont val="微软雅黑"/>
        <family val="2"/>
        <charset val="134"/>
      </rPr>
      <t>手扳</t>
    </r>
  </si>
  <si>
    <t>CNY1200</t>
  </si>
  <si>
    <t>50*27*12</t>
  </si>
  <si>
    <t>CNY31</t>
  </si>
  <si>
    <t>2201758</t>
  </si>
  <si>
    <t>1090*953</t>
  </si>
  <si>
    <r>
      <t>2288*1040*1270*18</t>
    </r>
    <r>
      <rPr>
        <sz val="11"/>
        <color theme="1"/>
        <rFont val="宋体"/>
        <family val="2"/>
      </rPr>
      <t>箱</t>
    </r>
  </si>
  <si>
    <t>2201759</t>
  </si>
  <si>
    <r>
      <t>2262*1076*1270*1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</si>
  <si>
    <t>2202601</t>
  </si>
  <si>
    <r>
      <t>2200*990*1270*4</t>
    </r>
    <r>
      <rPr>
        <sz val="11"/>
        <color theme="1"/>
        <rFont val="宋体"/>
        <family val="2"/>
      </rPr>
      <t>箱</t>
    </r>
  </si>
  <si>
    <t>2202621</t>
  </si>
  <si>
    <r>
      <t>2200*930*1100*12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</t>
    </r>
  </si>
  <si>
    <t>2203023</t>
  </si>
  <si>
    <r>
      <t>2220*1020*1100*15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*250</t>
    </r>
    <r>
      <rPr>
        <sz val="11"/>
        <color theme="1"/>
        <rFont val="宋体"/>
        <family val="2"/>
      </rPr>
      <t>只</t>
    </r>
    <r>
      <rPr>
        <sz val="11"/>
        <color theme="1"/>
        <rFont val="Arial"/>
        <family val="2"/>
      </rPr>
      <t>+1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*230</t>
    </r>
    <r>
      <rPr>
        <sz val="11"/>
        <color theme="1"/>
        <rFont val="宋体"/>
        <family val="2"/>
      </rPr>
      <t>只</t>
    </r>
  </si>
  <si>
    <t>507460</t>
  </si>
  <si>
    <t>TNT 3 42 912315</t>
  </si>
  <si>
    <t>18669</t>
  </si>
  <si>
    <t>S115-3</t>
  </si>
  <si>
    <t>95*81</t>
  </si>
  <si>
    <r>
      <t>1870*1214*1190*2</t>
    </r>
    <r>
      <rPr>
        <sz val="11"/>
        <color theme="1"/>
        <rFont val="宋体"/>
        <family val="2"/>
      </rPr>
      <t>箱</t>
    </r>
  </si>
  <si>
    <t>PAB2200623</t>
  </si>
  <si>
    <t>122-0511</t>
  </si>
  <si>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+22rollers-</t>
    </r>
    <r>
      <rPr>
        <sz val="11"/>
        <color theme="1"/>
        <rFont val="微软雅黑"/>
        <family val="2"/>
        <charset val="134"/>
      </rPr>
      <t>电镀</t>
    </r>
  </si>
  <si>
    <t>CNY102(80+1*22)</t>
  </si>
  <si>
    <r>
      <t>2200*990*1320*1</t>
    </r>
    <r>
      <rPr>
        <sz val="11"/>
        <color theme="1"/>
        <rFont val="宋体"/>
        <family val="2"/>
      </rPr>
      <t>只</t>
    </r>
  </si>
  <si>
    <t>2203877</t>
  </si>
  <si>
    <r>
      <t>2280*1050*1750*1</t>
    </r>
    <r>
      <rPr>
        <sz val="11"/>
        <color theme="1"/>
        <rFont val="宋体"/>
        <family val="2"/>
      </rPr>
      <t>箱</t>
    </r>
  </si>
  <si>
    <t>S8090</t>
  </si>
  <si>
    <t>1085*998</t>
  </si>
  <si>
    <r>
      <t>2280*1082*1270*18</t>
    </r>
    <r>
      <rPr>
        <sz val="11"/>
        <color theme="1"/>
        <rFont val="宋体"/>
        <family val="2"/>
      </rPr>
      <t>箱</t>
    </r>
  </si>
  <si>
    <t>2203958</t>
    <phoneticPr fontId="2" type="noConversion"/>
  </si>
  <si>
    <t>槽钢-电镀</t>
    <phoneticPr fontId="2" type="noConversion"/>
  </si>
  <si>
    <t>A22671</t>
    <phoneticPr fontId="2" type="noConversion"/>
  </si>
  <si>
    <t>2280*1080*1270*21箱 （840只-3箱）</t>
    <phoneticPr fontId="2" type="noConversion"/>
  </si>
  <si>
    <t>2204120</t>
  </si>
  <si>
    <t>A24951</t>
  </si>
  <si>
    <t>1088*990</t>
  </si>
  <si>
    <r>
      <t>2285*1082*870*1</t>
    </r>
    <r>
      <rPr>
        <sz val="11"/>
        <color theme="1"/>
        <rFont val="宋体"/>
        <family val="2"/>
      </rPr>
      <t>箱</t>
    </r>
  </si>
  <si>
    <t>2204130</t>
  </si>
  <si>
    <r>
      <t>2250*990*1270*3</t>
    </r>
    <r>
      <rPr>
        <sz val="11"/>
        <color theme="1"/>
        <rFont val="宋体"/>
        <family val="2"/>
      </rPr>
      <t>箱</t>
    </r>
  </si>
  <si>
    <t>18772</t>
  </si>
  <si>
    <t>1065*943</t>
  </si>
  <si>
    <r>
      <t>2240*1052*1270*4</t>
    </r>
    <r>
      <rPr>
        <sz val="11"/>
        <color theme="1"/>
        <rFont val="宋体"/>
        <family val="2"/>
      </rPr>
      <t>箱</t>
    </r>
  </si>
  <si>
    <t>2204395</t>
  </si>
  <si>
    <r>
      <t>2250*990*1270*2</t>
    </r>
    <r>
      <rPr>
        <sz val="11"/>
        <color theme="1"/>
        <rFont val="宋体"/>
        <family val="2"/>
      </rPr>
      <t>箱</t>
    </r>
    <phoneticPr fontId="2" type="noConversion"/>
  </si>
  <si>
    <t>2204396</t>
  </si>
  <si>
    <r>
      <t>2280*1080*1270*14</t>
    </r>
    <r>
      <rPr>
        <sz val="11"/>
        <color theme="1"/>
        <rFont val="宋体"/>
        <family val="2"/>
      </rPr>
      <t>箱</t>
    </r>
    <phoneticPr fontId="2" type="noConversion"/>
  </si>
  <si>
    <t>122-0718</t>
  </si>
  <si>
    <r>
      <t>LTG</t>
    </r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+22rollers-</t>
    </r>
    <r>
      <rPr>
        <sz val="11"/>
        <color theme="1"/>
        <rFont val="微软雅黑"/>
        <family val="2"/>
        <charset val="134"/>
      </rPr>
      <t>电镀</t>
    </r>
  </si>
  <si>
    <r>
      <t>OSI</t>
    </r>
    <r>
      <rPr>
        <sz val="11"/>
        <color theme="1"/>
        <rFont val="微软雅黑"/>
        <family val="2"/>
        <charset val="134"/>
      </rPr>
      <t>槽钢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</si>
  <si>
    <t>1110*944</t>
  </si>
  <si>
    <r>
      <t>2330*1025*1270*1</t>
    </r>
    <r>
      <rPr>
        <sz val="11"/>
        <color theme="1"/>
        <rFont val="宋体"/>
        <family val="2"/>
      </rPr>
      <t>箱</t>
    </r>
  </si>
  <si>
    <t>S8167</t>
  </si>
  <si>
    <t>114/2</t>
    <phoneticPr fontId="2" type="noConversion"/>
  </si>
  <si>
    <r>
      <t>2200*990*1270*7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; 1120*990*670*1</t>
    </r>
    <r>
      <rPr>
        <sz val="11"/>
        <color theme="1"/>
        <rFont val="宋体"/>
        <family val="2"/>
      </rPr>
      <t>箱</t>
    </r>
  </si>
  <si>
    <t>122-0824</t>
  </si>
  <si>
    <t>CNY102,ACI</t>
  </si>
  <si>
    <r>
      <t>2200*990*1270*10</t>
    </r>
    <r>
      <rPr>
        <sz val="11"/>
        <color theme="1"/>
        <rFont val="宋体"/>
        <family val="2"/>
      </rPr>
      <t>箱，</t>
    </r>
    <r>
      <rPr>
        <sz val="11"/>
        <color theme="1"/>
        <rFont val="Arial"/>
        <family val="2"/>
      </rPr>
      <t>2200*990*770*1</t>
    </r>
    <r>
      <rPr>
        <sz val="11"/>
        <color theme="1"/>
        <rFont val="宋体"/>
        <family val="2"/>
      </rPr>
      <t>箱</t>
    </r>
  </si>
  <si>
    <t>OP222200745</t>
  </si>
  <si>
    <r>
      <t>2240*1040*1620*1</t>
    </r>
    <r>
      <rPr>
        <sz val="11"/>
        <color theme="1"/>
        <rFont val="宋体"/>
        <family val="2"/>
      </rPr>
      <t>箱</t>
    </r>
  </si>
  <si>
    <t>18924</t>
  </si>
  <si>
    <t>40/60</t>
  </si>
  <si>
    <r>
      <rPr>
        <sz val="11"/>
        <color theme="1"/>
        <rFont val="微软雅黑"/>
        <family val="2"/>
        <charset val="134"/>
      </rPr>
      <t>管子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  <r>
      <rPr>
        <sz val="11"/>
        <color theme="1"/>
        <rFont val="Arial"/>
        <family val="2"/>
      </rPr>
      <t>(</t>
    </r>
    <r>
      <rPr>
        <sz val="11"/>
        <color theme="1"/>
        <rFont val="微软雅黑"/>
        <family val="2"/>
        <charset val="134"/>
      </rPr>
      <t>似</t>
    </r>
    <r>
      <rPr>
        <sz val="11"/>
        <color theme="1"/>
        <rFont val="Arial"/>
        <family val="2"/>
      </rPr>
      <t>EST)</t>
    </r>
  </si>
  <si>
    <t>1022*845</t>
  </si>
  <si>
    <r>
      <t>1860*1160*1270*11</t>
    </r>
    <r>
      <rPr>
        <sz val="11"/>
        <color theme="1"/>
        <rFont val="宋体"/>
        <family val="2"/>
      </rPr>
      <t>箱</t>
    </r>
    <r>
      <rPr>
        <sz val="11"/>
        <color theme="1"/>
        <rFont val="Arial"/>
        <family val="2"/>
      </rPr>
      <t>,2.4kgs/pc</t>
    </r>
  </si>
  <si>
    <t>2206593</t>
  </si>
  <si>
    <r>
      <t>2240*1030*1170*1</t>
    </r>
    <r>
      <rPr>
        <sz val="11"/>
        <color theme="1"/>
        <rFont val="宋体"/>
        <family val="2"/>
      </rPr>
      <t>箱</t>
    </r>
  </si>
  <si>
    <t>2206594</t>
  </si>
  <si>
    <r>
      <t>780*585*670*1</t>
    </r>
    <r>
      <rPr>
        <sz val="11"/>
        <color theme="1"/>
        <rFont val="宋体"/>
        <family val="2"/>
      </rPr>
      <t>箱</t>
    </r>
  </si>
  <si>
    <t>2206595</t>
  </si>
  <si>
    <r>
      <t>2250*990*1270*14</t>
    </r>
    <r>
      <rPr>
        <sz val="11"/>
        <color theme="1"/>
        <rFont val="宋体"/>
        <family val="2"/>
      </rPr>
      <t>只</t>
    </r>
  </si>
  <si>
    <t>2206660</t>
  </si>
  <si>
    <r>
      <t>2280*1080*1270*3</t>
    </r>
    <r>
      <rPr>
        <sz val="11"/>
        <color theme="1"/>
        <rFont val="宋体"/>
        <family val="2"/>
      </rPr>
      <t>箱</t>
    </r>
  </si>
  <si>
    <t>2207166</t>
  </si>
  <si>
    <r>
      <t>4.2KG/PC</t>
    </r>
    <r>
      <rPr>
        <sz val="11"/>
        <color theme="1"/>
        <rFont val="宋体"/>
        <family val="2"/>
      </rPr>
      <t>，</t>
    </r>
    <r>
      <rPr>
        <sz val="11"/>
        <color theme="1"/>
        <rFont val="Arial"/>
        <family val="2"/>
      </rPr>
      <t>2280*1420*870*2</t>
    </r>
    <r>
      <rPr>
        <sz val="11"/>
        <color theme="1"/>
        <rFont val="宋体"/>
        <family val="2"/>
      </rPr>
      <t>箱</t>
    </r>
  </si>
  <si>
    <t>2207781</t>
    <phoneticPr fontId="2" type="noConversion"/>
  </si>
  <si>
    <t>A05843</t>
    <phoneticPr fontId="2" type="noConversion"/>
  </si>
  <si>
    <t>1070*906</t>
    <phoneticPr fontId="2" type="noConversion"/>
  </si>
  <si>
    <t>2250*970*1270*1pc</t>
  </si>
  <si>
    <t>2208142</t>
    <phoneticPr fontId="2" type="noConversion"/>
  </si>
  <si>
    <t>A05844</t>
    <phoneticPr fontId="2" type="noConversion"/>
  </si>
  <si>
    <t>2250*985*1270*13ps, 1145*985*870*1pc</t>
  </si>
  <si>
    <t>S8264</t>
    <phoneticPr fontId="2" type="noConversion"/>
  </si>
  <si>
    <t>1045*910</t>
    <phoneticPr fontId="2" type="noConversion"/>
  </si>
  <si>
    <t>2200*985*1270*8ps</t>
  </si>
  <si>
    <t>S8090-2</t>
    <phoneticPr fontId="2" type="noConversion"/>
  </si>
  <si>
    <t>1085*998</t>
    <phoneticPr fontId="2" type="noConversion"/>
  </si>
  <si>
    <t>2280*1075*1270mm*1, 1170*1075*1170mm*1</t>
  </si>
  <si>
    <t>2208235</t>
    <phoneticPr fontId="2" type="noConversion"/>
  </si>
  <si>
    <t>X6168</t>
    <phoneticPr fontId="2" type="noConversion"/>
  </si>
  <si>
    <t>1045*906</t>
    <phoneticPr fontId="2" type="noConversion"/>
  </si>
  <si>
    <t>2200*985*1270*4ps</t>
  </si>
  <si>
    <t>EPCCS GmbH</t>
    <phoneticPr fontId="2" type="noConversion"/>
  </si>
  <si>
    <t>71000530</t>
    <phoneticPr fontId="2" type="noConversion"/>
  </si>
  <si>
    <t>FOB</t>
    <phoneticPr fontId="2" type="noConversion"/>
  </si>
  <si>
    <t>管子炉架</t>
    <phoneticPr fontId="2" type="noConversion"/>
  </si>
  <si>
    <t>2280*1170*770*5ps</t>
  </si>
  <si>
    <t>123-0101</t>
    <phoneticPr fontId="2" type="noConversion"/>
  </si>
  <si>
    <t>扁铁炉架</t>
    <phoneticPr fontId="2" type="noConversion"/>
  </si>
  <si>
    <t>LTG-HL-01-1045</t>
    <phoneticPr fontId="2" type="noConversion"/>
  </si>
  <si>
    <t>2210*985*1270*2ps</t>
  </si>
  <si>
    <t>S8343</t>
    <phoneticPr fontId="2" type="noConversion"/>
  </si>
  <si>
    <t>1270*930*1190*5ps(3.3kgs/pc)</t>
  </si>
  <si>
    <t>S8348</t>
    <phoneticPr fontId="2" type="noConversion"/>
  </si>
  <si>
    <t>737*635</t>
    <phoneticPr fontId="2" type="noConversion"/>
  </si>
  <si>
    <t>2060*770*1390*2ps(1.4kgs)</t>
  </si>
  <si>
    <t>71000574</t>
    <phoneticPr fontId="2" type="noConversion"/>
  </si>
  <si>
    <t>1085*1092</t>
    <phoneticPr fontId="2" type="noConversion"/>
  </si>
  <si>
    <t>2280*1170*670*5ps</t>
  </si>
  <si>
    <t>2300175</t>
    <phoneticPr fontId="2" type="noConversion"/>
  </si>
  <si>
    <t>槽钢-不电镀</t>
    <phoneticPr fontId="2" type="noConversion"/>
  </si>
  <si>
    <t>X7822</t>
    <phoneticPr fontId="2" type="noConversion"/>
  </si>
  <si>
    <t>2280*1070*1270*1pc</t>
  </si>
  <si>
    <t>2300779</t>
    <phoneticPr fontId="2" type="noConversion"/>
  </si>
  <si>
    <t>E52798</t>
    <phoneticPr fontId="2" type="noConversion"/>
  </si>
  <si>
    <t>1087*998</t>
    <phoneticPr fontId="2" type="noConversion"/>
  </si>
  <si>
    <t>2310*1072*1270*8ps, 2310*1072*620*1ps(60ps)</t>
  </si>
  <si>
    <t>2300957</t>
    <phoneticPr fontId="2" type="noConversion"/>
  </si>
  <si>
    <t>扁铁-不电镀</t>
    <phoneticPr fontId="2" type="noConversion"/>
  </si>
  <si>
    <t>W2950C</t>
    <phoneticPr fontId="2" type="noConversion"/>
  </si>
  <si>
    <t>2280*1075*970*1pc</t>
  </si>
  <si>
    <t>2300781</t>
    <phoneticPr fontId="2" type="noConversion"/>
  </si>
  <si>
    <t>D09230B</t>
    <phoneticPr fontId="2" type="noConversion"/>
  </si>
  <si>
    <t>2280*1075*1070*1pc</t>
  </si>
  <si>
    <t>杭州郃晟</t>
    <phoneticPr fontId="2" type="noConversion"/>
  </si>
  <si>
    <t>XSHT-20230221-006</t>
    <phoneticPr fontId="2" type="noConversion"/>
  </si>
  <si>
    <t>EXW</t>
    <phoneticPr fontId="2" type="noConversion"/>
  </si>
  <si>
    <t>槽钢炉架</t>
    <phoneticPr fontId="2" type="noConversion"/>
  </si>
  <si>
    <t>2210*985*1620*2ps</t>
  </si>
  <si>
    <t>永富容器(香港)有限公司</t>
    <phoneticPr fontId="2" type="noConversion"/>
  </si>
  <si>
    <t>OP222300123</t>
    <phoneticPr fontId="2" type="noConversion"/>
  </si>
  <si>
    <t>SPT07-003090</t>
    <phoneticPr fontId="2" type="noConversion"/>
  </si>
  <si>
    <t>1065*950</t>
    <phoneticPr fontId="2" type="noConversion"/>
  </si>
  <si>
    <t>2240*1040*1620*1ps</t>
  </si>
  <si>
    <t>2301247</t>
    <phoneticPr fontId="2" type="noConversion"/>
  </si>
  <si>
    <t>2310*1072*1270*3ps</t>
  </si>
  <si>
    <t>2301229</t>
    <phoneticPr fontId="2" type="noConversion"/>
  </si>
  <si>
    <t>19285</t>
    <phoneticPr fontId="2" type="noConversion"/>
  </si>
  <si>
    <t>1270*930*1420*3ps(3.3kgs/pc)</t>
  </si>
  <si>
    <t>19215PERM</t>
    <phoneticPr fontId="2" type="noConversion"/>
  </si>
  <si>
    <t>2301803</t>
    <phoneticPr fontId="2" type="noConversion"/>
  </si>
  <si>
    <t>2310*1072*1270*11ps</t>
  </si>
  <si>
    <t>2301793</t>
    <phoneticPr fontId="2" type="noConversion"/>
  </si>
  <si>
    <t>2260*990*1270*16PS</t>
    <phoneticPr fontId="2" type="noConversion"/>
  </si>
  <si>
    <t>2301930</t>
    <phoneticPr fontId="2" type="noConversion"/>
  </si>
  <si>
    <t>2260*990*1270*6ps,2260*990*1420*4ps</t>
  </si>
  <si>
    <t>Công ty TNHH Kian Joo Can (Việt Nam)</t>
    <phoneticPr fontId="2" type="noConversion"/>
  </si>
  <si>
    <t>1730667</t>
    <phoneticPr fontId="2" type="noConversion"/>
  </si>
  <si>
    <t>CFR</t>
    <phoneticPr fontId="2" type="noConversion"/>
  </si>
  <si>
    <t>链条滚轮（进口）</t>
    <phoneticPr fontId="2" type="noConversion"/>
  </si>
  <si>
    <t>42*24*10</t>
    <phoneticPr fontId="2" type="noConversion"/>
  </si>
  <si>
    <r>
      <t>820*320*220mm(</t>
    </r>
    <r>
      <rPr>
        <sz val="11"/>
        <color theme="1"/>
        <rFont val="微软雅黑"/>
        <family val="2"/>
        <charset val="134"/>
      </rPr>
      <t>实际滚轮包装</t>
    </r>
    <r>
      <rPr>
        <sz val="11"/>
        <color theme="1"/>
        <rFont val="Arial"/>
        <family val="2"/>
      </rPr>
      <t>40*26*16)</t>
    </r>
    <phoneticPr fontId="2" type="noConversion"/>
  </si>
  <si>
    <t>110051226</t>
    <phoneticPr fontId="2" type="noConversion"/>
  </si>
  <si>
    <t>820*280*340mm</t>
  </si>
  <si>
    <t>KBA-MetalPrint GmbH</t>
  </si>
  <si>
    <t>2302115</t>
  </si>
  <si>
    <t>FOB</t>
  </si>
  <si>
    <t>烘房墙板</t>
  </si>
  <si>
    <t>B02719</t>
  </si>
  <si>
    <t>烘房墙板</t>
    <phoneticPr fontId="2" type="noConversion"/>
  </si>
  <si>
    <t>2302116</t>
  </si>
  <si>
    <t>B02692</t>
  </si>
  <si>
    <t>2302117</t>
  </si>
  <si>
    <t>B02693</t>
  </si>
  <si>
    <t>2302118</t>
  </si>
  <si>
    <t>B01527</t>
    <phoneticPr fontId="2" type="noConversion"/>
  </si>
  <si>
    <t>2302119</t>
    <phoneticPr fontId="2" type="noConversion"/>
  </si>
  <si>
    <t>17ps pallets</t>
  </si>
  <si>
    <t>2300978</t>
    <phoneticPr fontId="2" type="noConversion"/>
  </si>
  <si>
    <t>B02272</t>
    <phoneticPr fontId="2" type="noConversion"/>
  </si>
  <si>
    <t>19247</t>
    <phoneticPr fontId="2" type="noConversion"/>
  </si>
  <si>
    <t>MG5</t>
    <phoneticPr fontId="2" type="noConversion"/>
  </si>
  <si>
    <t>845*1050</t>
    <phoneticPr fontId="2" type="noConversion"/>
  </si>
  <si>
    <t>1250*980*1420*3ps-air</t>
  </si>
  <si>
    <t>2302424</t>
    <phoneticPr fontId="2" type="noConversion"/>
  </si>
  <si>
    <t>Y1886</t>
    <phoneticPr fontId="2" type="noConversion"/>
  </si>
  <si>
    <t>2280*1070*1270*14ps</t>
  </si>
  <si>
    <t>2302533-1</t>
    <phoneticPr fontId="2" type="noConversion"/>
  </si>
  <si>
    <t>2302533-2</t>
    <phoneticPr fontId="2" type="noConversion"/>
  </si>
  <si>
    <t>Swan Industries (Thailand) Ltd</t>
    <phoneticPr fontId="2" type="noConversion"/>
  </si>
  <si>
    <t>I-027-2023</t>
    <phoneticPr fontId="2" type="noConversion"/>
  </si>
  <si>
    <t>114/6 A22671A</t>
    <phoneticPr fontId="2" type="noConversion"/>
  </si>
  <si>
    <t>2270*1060*1100*2PC</t>
  </si>
  <si>
    <t>2302931</t>
    <phoneticPr fontId="2" type="noConversion"/>
  </si>
  <si>
    <t>A22227</t>
    <phoneticPr fontId="2" type="noConversion"/>
  </si>
  <si>
    <t>1085*906</t>
    <phoneticPr fontId="2" type="noConversion"/>
  </si>
  <si>
    <t>2280*990*720*1pc</t>
  </si>
  <si>
    <t>2303158</t>
    <phoneticPr fontId="2" type="noConversion"/>
  </si>
  <si>
    <t>2280*1070*1270*6PS</t>
  </si>
  <si>
    <t>2303153</t>
    <phoneticPr fontId="2" type="noConversion"/>
  </si>
  <si>
    <t>2200*980*1270*12PS</t>
  </si>
  <si>
    <t>PACIFIC KAT CAP CO.,LTD</t>
    <phoneticPr fontId="2" type="noConversion"/>
  </si>
  <si>
    <t>6606011</t>
    <phoneticPr fontId="2" type="noConversion"/>
  </si>
  <si>
    <t>2280*1070*1270*12ps</t>
  </si>
  <si>
    <t>71005024</t>
    <phoneticPr fontId="2" type="noConversion"/>
  </si>
  <si>
    <t>KBA1085</t>
    <phoneticPr fontId="2" type="noConversion"/>
  </si>
  <si>
    <t>1170*1070*1150*2pc</t>
  </si>
  <si>
    <t>19551</t>
    <phoneticPr fontId="2" type="noConversion"/>
  </si>
  <si>
    <t>不锈钢5*10</t>
    <phoneticPr fontId="2" type="noConversion"/>
  </si>
  <si>
    <t>W12107378</t>
    <phoneticPr fontId="2" type="noConversion"/>
  </si>
  <si>
    <t>840*655</t>
    <phoneticPr fontId="2" type="noConversion"/>
  </si>
  <si>
    <t>2030*790*1570*7ctns/2.2kgs</t>
  </si>
  <si>
    <t>19565</t>
    <phoneticPr fontId="2" type="noConversion"/>
  </si>
  <si>
    <t>LTG-HL-04-1045</t>
    <phoneticPr fontId="2" type="noConversion"/>
  </si>
  <si>
    <t>1045*907</t>
    <phoneticPr fontId="2" type="noConversion"/>
  </si>
  <si>
    <t>2200*990*970*2ps</t>
  </si>
  <si>
    <t>19247-R</t>
    <phoneticPr fontId="2" type="noConversion"/>
  </si>
  <si>
    <t>扁铁炉架-电镀</t>
    <phoneticPr fontId="2" type="noConversion"/>
  </si>
  <si>
    <t>1250*980*1420*3ps-air</t>
    <phoneticPr fontId="2" type="noConversion"/>
  </si>
  <si>
    <t>20230704</t>
    <phoneticPr fontId="2" type="noConversion"/>
  </si>
  <si>
    <t>2200*980*1270*4PS</t>
    <phoneticPr fontId="2" type="noConversion"/>
  </si>
  <si>
    <t>123-0714</t>
    <phoneticPr fontId="2" type="noConversion"/>
  </si>
  <si>
    <t>114-2</t>
    <phoneticPr fontId="2" type="noConversion"/>
  </si>
  <si>
    <t>14.5MM 22颗滚轮,2200*980*1370</t>
  </si>
  <si>
    <t>Aik Joo Can Factory Sdn Bhd</t>
  </si>
  <si>
    <t>14072023083758-0001</t>
  </si>
  <si>
    <t>EXW</t>
  </si>
  <si>
    <t>链条滚轮（进口）</t>
  </si>
  <si>
    <t>2cartons</t>
    <phoneticPr fontId="2" type="noConversion"/>
  </si>
  <si>
    <t>2304462</t>
    <phoneticPr fontId="2" type="noConversion"/>
  </si>
  <si>
    <t>200/箱*1 2280*1070*1120， 100/箱*2 1160*1070*1120</t>
  </si>
  <si>
    <t>2304309</t>
    <phoneticPr fontId="2" type="noConversion"/>
  </si>
  <si>
    <t>100/箱*3，1160*980*1120</t>
  </si>
  <si>
    <t>71000683</t>
    <phoneticPr fontId="2" type="noConversion"/>
  </si>
  <si>
    <t>1160*1170*1170*2ps</t>
  </si>
  <si>
    <t>2304735</t>
    <phoneticPr fontId="2" type="noConversion"/>
  </si>
  <si>
    <t>2280*1070*1270*16ps</t>
  </si>
  <si>
    <t>71000731</t>
    <phoneticPr fontId="2" type="noConversion"/>
  </si>
  <si>
    <t>MG12</t>
    <phoneticPr fontId="2" type="noConversion"/>
  </si>
  <si>
    <t>1065*949</t>
    <phoneticPr fontId="2" type="noConversion"/>
  </si>
  <si>
    <t>1140*1030*1170*5ps</t>
  </si>
  <si>
    <t>123-0923</t>
    <phoneticPr fontId="2" type="noConversion"/>
  </si>
  <si>
    <t>LTG-HL-02-1045</t>
    <phoneticPr fontId="2" type="noConversion"/>
  </si>
  <si>
    <t>1120*985*1120*1PC</t>
  </si>
  <si>
    <t>DM</t>
    <phoneticPr fontId="2" type="noConversion"/>
  </si>
  <si>
    <t>1045*550</t>
    <phoneticPr fontId="2" type="noConversion"/>
  </si>
  <si>
    <t>2200*990*1120*1PC</t>
  </si>
  <si>
    <t>2304310</t>
    <phoneticPr fontId="2" type="noConversion"/>
  </si>
  <si>
    <t>71000769</t>
    <phoneticPr fontId="2" type="noConversion"/>
  </si>
  <si>
    <t>管架-电镀</t>
    <phoneticPr fontId="2" type="noConversion"/>
  </si>
  <si>
    <t>1085*975</t>
    <phoneticPr fontId="2" type="noConversion"/>
  </si>
  <si>
    <t>2280*1110*1170*1PC</t>
  </si>
  <si>
    <t>19801</t>
    <phoneticPr fontId="2" type="noConversion"/>
  </si>
  <si>
    <t>VL3</t>
    <phoneticPr fontId="2" type="noConversion"/>
  </si>
  <si>
    <t>1065*948</t>
    <phoneticPr fontId="2" type="noConversion"/>
  </si>
  <si>
    <t>2260*1030*1270*1PC</t>
  </si>
  <si>
    <t>71000786</t>
    <phoneticPr fontId="2" type="noConversion"/>
  </si>
  <si>
    <t>1160*1175*1270*8ps</t>
  </si>
  <si>
    <t>110056769</t>
    <phoneticPr fontId="2" type="noConversion"/>
  </si>
  <si>
    <t>100*40*40cm(6ps)</t>
  </si>
  <si>
    <t>1732054</t>
    <phoneticPr fontId="2" type="noConversion"/>
  </si>
  <si>
    <t>2306040</t>
    <phoneticPr fontId="2" type="noConversion"/>
  </si>
  <si>
    <t>2200*980*1270*12ps</t>
  </si>
  <si>
    <t>2305961</t>
    <phoneticPr fontId="2" type="noConversion"/>
  </si>
  <si>
    <t>2280*1070*1270*2ps</t>
  </si>
  <si>
    <t>19885</t>
    <phoneticPr fontId="2" type="noConversion"/>
  </si>
  <si>
    <t>2060*770*1390*1pc(1.4kgs)</t>
  </si>
  <si>
    <t>韩国LK Industry</t>
    <phoneticPr fontId="2" type="noConversion"/>
  </si>
  <si>
    <t>XSHT-230926-012</t>
    <phoneticPr fontId="2" type="noConversion"/>
  </si>
  <si>
    <t>1040*518*815</t>
    <phoneticPr fontId="2" type="noConversion"/>
  </si>
  <si>
    <t>2200*880*1280*2ps</t>
  </si>
  <si>
    <t>2301450</t>
    <phoneticPr fontId="2" type="noConversion"/>
  </si>
  <si>
    <t>E50828</t>
    <phoneticPr fontId="2" type="noConversion"/>
  </si>
  <si>
    <t>1045*518</t>
    <phoneticPr fontId="2" type="noConversion"/>
  </si>
  <si>
    <t>2260*990*1470*2ps</t>
  </si>
  <si>
    <t>2306410</t>
    <phoneticPr fontId="2" type="noConversion"/>
  </si>
  <si>
    <t>2280*1070*1270*25ps</t>
  </si>
  <si>
    <t>19900</t>
    <phoneticPr fontId="2" type="noConversion"/>
  </si>
  <si>
    <t>MG5-R1(PERM)</t>
    <phoneticPr fontId="2" type="noConversion"/>
  </si>
  <si>
    <t>1060*845</t>
    <phoneticPr fontId="2" type="noConversion"/>
  </si>
  <si>
    <t>1270*930*1420*50PS</t>
  </si>
  <si>
    <t>110058348</t>
    <phoneticPr fontId="2" type="noConversion"/>
  </si>
  <si>
    <t>CIF</t>
    <phoneticPr fontId="2" type="noConversion"/>
  </si>
  <si>
    <t>扁铁炉架+22滚轮</t>
    <phoneticPr fontId="2" type="noConversion"/>
  </si>
  <si>
    <t>2210*985*1370*2ps</t>
  </si>
  <si>
    <t>2400218</t>
    <phoneticPr fontId="2" type="noConversion"/>
  </si>
  <si>
    <t>1065*518*976</t>
    <phoneticPr fontId="2" type="noConversion"/>
  </si>
  <si>
    <t>2240*1060*1270,  250ps*2boxes</t>
  </si>
  <si>
    <t>20240115</t>
    <phoneticPr fontId="2" type="noConversion"/>
  </si>
  <si>
    <t>扁铁连体炉架</t>
    <phoneticPr fontId="2" type="noConversion"/>
  </si>
  <si>
    <t>TTST03N1045</t>
    <phoneticPr fontId="2" type="noConversion"/>
  </si>
  <si>
    <t>1045*520*904</t>
    <phoneticPr fontId="2" type="noConversion"/>
  </si>
  <si>
    <t>2210*980*1270*4ps</t>
  </si>
  <si>
    <t>S8884</t>
    <phoneticPr fontId="2" type="noConversion"/>
  </si>
  <si>
    <t>1022*845</t>
    <phoneticPr fontId="2" type="noConversion"/>
  </si>
  <si>
    <t>2320*930*1300*8箱，2.4kgs/pc</t>
  </si>
  <si>
    <t>20240220</t>
    <phoneticPr fontId="2" type="noConversion"/>
  </si>
  <si>
    <t>LTG-FLT-1045518738</t>
    <phoneticPr fontId="2" type="noConversion"/>
  </si>
  <si>
    <t>1045*518*738</t>
    <phoneticPr fontId="2" type="noConversion"/>
  </si>
  <si>
    <t>2200*820*1270*1PC</t>
  </si>
  <si>
    <t>2400960</t>
    <phoneticPr fontId="2" type="noConversion"/>
  </si>
  <si>
    <t>扁铁双拼架-不电镀</t>
    <phoneticPr fontId="2" type="noConversion"/>
  </si>
  <si>
    <t>Y0827</t>
    <phoneticPr fontId="2" type="noConversion"/>
  </si>
  <si>
    <t>1095*508*1348</t>
    <phoneticPr fontId="2" type="noConversion"/>
  </si>
  <si>
    <t>1440*1190*1070*2ps,4.6kg/pc</t>
    <phoneticPr fontId="2" type="noConversion"/>
  </si>
  <si>
    <t>2400961</t>
    <phoneticPr fontId="2" type="noConversion"/>
  </si>
  <si>
    <t>1085*518*996</t>
    <phoneticPr fontId="2" type="noConversion"/>
  </si>
  <si>
    <t>2280*1070*1270*6ps</t>
  </si>
  <si>
    <t>20240227</t>
    <phoneticPr fontId="2" type="noConversion"/>
  </si>
  <si>
    <t>LTG-IBM-1045518904</t>
    <phoneticPr fontId="2" type="noConversion"/>
  </si>
  <si>
    <t>1045*518*904</t>
    <phoneticPr fontId="2" type="noConversion"/>
  </si>
  <si>
    <t>2280*980*1390*4ps</t>
  </si>
  <si>
    <t>124-0206</t>
    <phoneticPr fontId="2" type="noConversion"/>
  </si>
  <si>
    <t>2280*980*1520*1pc</t>
  </si>
  <si>
    <t>杭州中粮美特容器有限公司</t>
  </si>
  <si>
    <t>HZ-LL-20240222-01</t>
  </si>
  <si>
    <t>扁铁带22只滚轮-电镀</t>
  </si>
  <si>
    <t>LTG-LH-01-1075</t>
  </si>
  <si>
    <t>1075*518*905</t>
  </si>
  <si>
    <t>2260*980*1670*13ps</t>
    <phoneticPr fontId="2" type="noConversion"/>
  </si>
  <si>
    <t>2401479</t>
    <phoneticPr fontId="2" type="noConversion"/>
  </si>
  <si>
    <t>A24951</t>
    <phoneticPr fontId="2" type="noConversion"/>
  </si>
  <si>
    <t>1087.5*518*990</t>
    <phoneticPr fontId="2" type="noConversion"/>
  </si>
  <si>
    <t>2310*1080*920*1pc</t>
  </si>
  <si>
    <t>2401481</t>
    <phoneticPr fontId="2" type="noConversion"/>
  </si>
  <si>
    <t>2280*1070*1270*6ps</t>
    <phoneticPr fontId="2" type="noConversion"/>
  </si>
  <si>
    <t>2401660</t>
    <phoneticPr fontId="2" type="noConversion"/>
  </si>
  <si>
    <t>E31961</t>
    <phoneticPr fontId="2" type="noConversion"/>
  </si>
  <si>
    <t>1085*518*1036</t>
    <phoneticPr fontId="2" type="noConversion"/>
  </si>
  <si>
    <t>2280*980*1510*4ps</t>
  </si>
  <si>
    <t>110061079</t>
    <phoneticPr fontId="2" type="noConversion"/>
  </si>
  <si>
    <t>1045*518*905</t>
    <phoneticPr fontId="2" type="noConversion"/>
  </si>
  <si>
    <t>2200*980*1370*13ps</t>
  </si>
  <si>
    <t>PT. INDONESIA MULTI COLOUR PRINTING</t>
  </si>
  <si>
    <t>0130424</t>
  </si>
  <si>
    <t>DHL2583774992</t>
    <phoneticPr fontId="2" type="noConversion"/>
  </si>
  <si>
    <t>链条滚轮垫片</t>
  </si>
  <si>
    <t>GL002</t>
  </si>
  <si>
    <t>3*30*10.5*4.6</t>
  </si>
  <si>
    <t>5.26g/pc*500ps=2.7kgs</t>
    <phoneticPr fontId="2" type="noConversion"/>
  </si>
  <si>
    <t>2401989</t>
    <phoneticPr fontId="2" type="noConversion"/>
  </si>
  <si>
    <t>2280*1070*1270*19ps</t>
  </si>
  <si>
    <t>2402083</t>
    <phoneticPr fontId="2" type="noConversion"/>
  </si>
  <si>
    <t>2260*990*1070*1pc</t>
  </si>
  <si>
    <t>宜兴市宏源印铁制罐有限公司</t>
    <phoneticPr fontId="2" type="noConversion"/>
  </si>
  <si>
    <t>20240420</t>
    <phoneticPr fontId="2" type="noConversion"/>
  </si>
  <si>
    <t>鼎马带3钩</t>
    <phoneticPr fontId="2" type="noConversion"/>
  </si>
  <si>
    <t>1075*552*898</t>
    <phoneticPr fontId="2" type="noConversion"/>
  </si>
  <si>
    <t>2270*980*1370*2ps</t>
  </si>
  <si>
    <t>2402202</t>
    <phoneticPr fontId="2" type="noConversion"/>
  </si>
  <si>
    <t>A06566</t>
    <phoneticPr fontId="2" type="noConversion"/>
  </si>
  <si>
    <t>1065*946</t>
    <phoneticPr fontId="2" type="noConversion"/>
  </si>
  <si>
    <t>2240*1030*1170*2ps</t>
  </si>
  <si>
    <t>2402157</t>
    <phoneticPr fontId="2" type="noConversion"/>
  </si>
  <si>
    <t>2280*1070*1270*15ps+850mm*1</t>
  </si>
  <si>
    <t>苏州浦瑞澄包装材料有限公司</t>
    <phoneticPr fontId="2" type="noConversion"/>
  </si>
  <si>
    <t>20240510</t>
    <phoneticPr fontId="2" type="noConversion"/>
  </si>
  <si>
    <t>扁铁带22只滚轮-电镀</t>
    <phoneticPr fontId="2" type="noConversion"/>
  </si>
  <si>
    <t>LTG-LH-01-1045</t>
    <phoneticPr fontId="2" type="noConversion"/>
  </si>
  <si>
    <t>2210*980*1050*5ps</t>
  </si>
  <si>
    <t>苏州浦瑞澄包装材料有限公司</t>
  </si>
  <si>
    <t>20240510</t>
  </si>
  <si>
    <r>
      <rPr>
        <sz val="11"/>
        <color theme="1"/>
        <rFont val="微软雅黑"/>
        <family val="2"/>
        <charset val="134"/>
      </rPr>
      <t>扁铁</t>
    </r>
    <r>
      <rPr>
        <sz val="11"/>
        <color theme="1"/>
        <rFont val="Arial"/>
        <family val="2"/>
      </rPr>
      <t>+22</t>
    </r>
    <r>
      <rPr>
        <sz val="11"/>
        <color theme="1"/>
        <rFont val="微软雅黑"/>
        <family val="2"/>
        <charset val="134"/>
      </rPr>
      <t>轮</t>
    </r>
    <r>
      <rPr>
        <sz val="11"/>
        <color theme="1"/>
        <rFont val="Arial"/>
        <family val="2"/>
      </rPr>
      <t>-</t>
    </r>
    <r>
      <rPr>
        <sz val="11"/>
        <color theme="1"/>
        <rFont val="微软雅黑"/>
        <family val="2"/>
        <charset val="134"/>
      </rPr>
      <t>电镀</t>
    </r>
    <phoneticPr fontId="2" type="noConversion"/>
  </si>
  <si>
    <t>1075*522*890</t>
    <phoneticPr fontId="2" type="noConversion"/>
  </si>
  <si>
    <t>2260*970*1170*1pc</t>
    <phoneticPr fontId="2" type="noConversion"/>
  </si>
  <si>
    <t>42*32*24*10</t>
  </si>
  <si>
    <t>620*480*670*1pc</t>
    <phoneticPr fontId="2" type="noConversion"/>
  </si>
  <si>
    <t>42**32*28*10</t>
  </si>
  <si>
    <t>链条垫片</t>
  </si>
  <si>
    <t>25*10*3.5</t>
  </si>
  <si>
    <t>850*540*580*1pc</t>
    <phoneticPr fontId="2" type="noConversion"/>
  </si>
  <si>
    <t>链条</t>
  </si>
  <si>
    <t>左右各15米</t>
  </si>
  <si>
    <t>2402291</t>
    <phoneticPr fontId="2" type="noConversion"/>
  </si>
  <si>
    <t>2280*1060*690*1pc</t>
  </si>
  <si>
    <t>2402379</t>
    <phoneticPr fontId="2" type="noConversion"/>
  </si>
  <si>
    <t>1160*990*1070*2ps;2280*990*1070*1pc</t>
  </si>
  <si>
    <t>2402473</t>
    <phoneticPr fontId="2" type="noConversion"/>
  </si>
  <si>
    <t>双拼槽钢-不电镀</t>
    <phoneticPr fontId="2" type="noConversion"/>
  </si>
  <si>
    <t>1340*1095</t>
    <phoneticPr fontId="2" type="noConversion"/>
  </si>
  <si>
    <t>4.2KG/PC，2300*1420*870*2箱</t>
  </si>
  <si>
    <t>Perm Machine &amp; Tool</t>
  </si>
  <si>
    <t>无</t>
  </si>
  <si>
    <t>管子炉架</t>
  </si>
  <si>
    <t>1103*522*996</t>
  </si>
  <si>
    <r>
      <t>1190*1070*470*1</t>
    </r>
    <r>
      <rPr>
        <sz val="11"/>
        <color theme="1"/>
        <rFont val="宋体"/>
        <family val="2"/>
        <charset val="134"/>
      </rPr>
      <t>箱</t>
    </r>
    <phoneticPr fontId="2" type="noConversion"/>
  </si>
  <si>
    <t>20240603</t>
    <phoneticPr fontId="2" type="noConversion"/>
  </si>
  <si>
    <t>2280*980*1390*4PS</t>
  </si>
  <si>
    <t>19565-R</t>
    <phoneticPr fontId="2" type="noConversion"/>
  </si>
  <si>
    <t>LTG-TUBE-1075522910</t>
    <phoneticPr fontId="2" type="noConversion"/>
  </si>
  <si>
    <t>2260*990*970*2ps</t>
  </si>
  <si>
    <t>INGHOR, S.A</t>
    <phoneticPr fontId="2" type="noConversion"/>
  </si>
  <si>
    <t>8194</t>
    <phoneticPr fontId="2" type="noConversion"/>
  </si>
  <si>
    <t>2280*1070*1270*14ps+640高*1pc</t>
  </si>
  <si>
    <t>20240612-1</t>
    <phoneticPr fontId="2" type="noConversion"/>
  </si>
  <si>
    <t>C1,P3,P4</t>
    <phoneticPr fontId="2" type="noConversion"/>
  </si>
  <si>
    <t>2210*980*1270*2PS</t>
  </si>
  <si>
    <t>20240612-2</t>
    <phoneticPr fontId="2" type="noConversion"/>
  </si>
  <si>
    <t>P1</t>
    <phoneticPr fontId="2" type="noConversion"/>
  </si>
  <si>
    <t>1080*558*945</t>
    <phoneticPr fontId="2" type="noConversion"/>
  </si>
  <si>
    <t>2280*1020*1060</t>
  </si>
  <si>
    <t>20240612-3</t>
    <phoneticPr fontId="2" type="noConversion"/>
  </si>
  <si>
    <t>P2</t>
    <phoneticPr fontId="2" type="noConversion"/>
  </si>
  <si>
    <t>2280*1080*1060</t>
  </si>
  <si>
    <t>20240612-4</t>
    <phoneticPr fontId="2" type="noConversion"/>
  </si>
  <si>
    <t>C3</t>
    <phoneticPr fontId="2" type="noConversion"/>
  </si>
  <si>
    <t>1050*548*936</t>
    <phoneticPr fontId="2" type="noConversion"/>
  </si>
  <si>
    <r>
      <t>2210*1020*1060</t>
    </r>
    <r>
      <rPr>
        <sz val="11"/>
        <color theme="1"/>
        <rFont val="宋体"/>
        <family val="2"/>
        <charset val="134"/>
      </rPr>
      <t>，400</t>
    </r>
    <r>
      <rPr>
        <sz val="11"/>
        <color theme="1"/>
        <rFont val="Arial"/>
        <family val="2"/>
      </rPr>
      <t>KGS</t>
    </r>
    <phoneticPr fontId="2" type="noConversion"/>
  </si>
  <si>
    <t>110062534</t>
    <phoneticPr fontId="2" type="noConversion"/>
  </si>
  <si>
    <t>KJCF-FLT-10855811090R</t>
    <phoneticPr fontId="2" type="noConversion"/>
  </si>
  <si>
    <t>1085*581*1090</t>
    <phoneticPr fontId="2" type="noConversion"/>
  </si>
  <si>
    <t>2280*1170*1400*2PS</t>
  </si>
  <si>
    <t>20312</t>
    <phoneticPr fontId="2" type="noConversion"/>
  </si>
  <si>
    <t>槽钢炉架-不电镀</t>
    <phoneticPr fontId="2" type="noConversion"/>
  </si>
  <si>
    <t>LTG-IBM-1070520910</t>
    <phoneticPr fontId="2" type="noConversion"/>
  </si>
  <si>
    <t>1070*520*910</t>
    <phoneticPr fontId="2" type="noConversion"/>
  </si>
  <si>
    <t>2260*990*1320*13ps</t>
  </si>
  <si>
    <t xml:space="preserve"> 71000943</t>
    <phoneticPr fontId="2" type="noConversion"/>
  </si>
  <si>
    <t>EPCCS4320003</t>
    <phoneticPr fontId="2" type="noConversion"/>
  </si>
  <si>
    <t>1085*1098</t>
    <phoneticPr fontId="2" type="noConversion"/>
  </si>
  <si>
    <t xml:space="preserve"> 41000663</t>
    <phoneticPr fontId="2" type="noConversion"/>
  </si>
  <si>
    <t>courier</t>
    <phoneticPr fontId="2" type="noConversion"/>
  </si>
  <si>
    <t>1140*1140*110mm*1pc</t>
  </si>
  <si>
    <t>71000946</t>
    <phoneticPr fontId="2" type="noConversion"/>
  </si>
  <si>
    <t>2280*1170*1210*1pc</t>
  </si>
  <si>
    <t>2403121</t>
    <phoneticPr fontId="2" type="noConversion"/>
  </si>
  <si>
    <t>吊钩槽钢-不电镀</t>
    <phoneticPr fontId="2" type="noConversion"/>
  </si>
  <si>
    <t>1170*1080*1100*2ps</t>
  </si>
  <si>
    <t>20414</t>
    <phoneticPr fontId="2" type="noConversion"/>
  </si>
  <si>
    <t>A22671-下支架</t>
    <phoneticPr fontId="2" type="noConversion"/>
  </si>
  <si>
    <t>1085*518*995</t>
    <phoneticPr fontId="2" type="noConversion"/>
  </si>
  <si>
    <t>1170*1080*1070*1pc，270kgs</t>
  </si>
  <si>
    <t>20240722</t>
    <phoneticPr fontId="2" type="noConversion"/>
  </si>
  <si>
    <t>2210*980*1150*8ps,1120*980*550*1pc</t>
    <phoneticPr fontId="2" type="noConversion"/>
  </si>
  <si>
    <t>S9110</t>
    <phoneticPr fontId="2" type="noConversion"/>
  </si>
  <si>
    <t>1022*822*845</t>
    <phoneticPr fontId="2" type="noConversion"/>
  </si>
  <si>
    <t>2320*930*1210*6ps</t>
    <phoneticPr fontId="2" type="noConversion"/>
  </si>
  <si>
    <t>20414-R</t>
    <phoneticPr fontId="2" type="noConversion"/>
  </si>
  <si>
    <t>A22671-下支架,不电镀</t>
    <phoneticPr fontId="2" type="noConversion"/>
  </si>
  <si>
    <t>1160*1060*1060*1pc，273kgs</t>
  </si>
  <si>
    <t>2403659</t>
    <phoneticPr fontId="2" type="noConversion"/>
  </si>
  <si>
    <t>A90391</t>
    <phoneticPr fontId="2" type="noConversion"/>
  </si>
  <si>
    <t>2300*1420*870*4ps</t>
  </si>
  <si>
    <t>M.C. Packaging PTE LTD</t>
  </si>
  <si>
    <t>PO00003759</t>
  </si>
  <si>
    <t>PFA滚轮</t>
  </si>
  <si>
    <t>OD14.8*4.6 * 2&amp;11*4.6*2</t>
  </si>
  <si>
    <t>2403820</t>
  </si>
  <si>
    <t>2210*980*1150*1PC</t>
    <phoneticPr fontId="2" type="noConversion"/>
  </si>
  <si>
    <t>Asian Pacific Can Co., Ltd</t>
    <phoneticPr fontId="2" type="noConversion"/>
  </si>
  <si>
    <t>2400052</t>
    <phoneticPr fontId="2" type="noConversion"/>
  </si>
  <si>
    <t>槽钢+23roller</t>
    <phoneticPr fontId="2" type="noConversion"/>
  </si>
  <si>
    <t>APC-005-A-02</t>
    <phoneticPr fontId="2" type="noConversion"/>
  </si>
  <si>
    <t>1160*1080*550*1pc</t>
  </si>
  <si>
    <t>苏州市崇西印刷器材有限公司</t>
    <phoneticPr fontId="2" type="noConversion"/>
  </si>
  <si>
    <t>20240815</t>
    <phoneticPr fontId="2" type="noConversion"/>
  </si>
  <si>
    <t>1045*518*906</t>
    <phoneticPr fontId="2" type="noConversion"/>
  </si>
  <si>
    <t>2200*980*1270*4ps</t>
  </si>
  <si>
    <t>PO00003873</t>
  </si>
  <si>
    <r>
      <rPr>
        <sz val="11"/>
        <color theme="1"/>
        <rFont val="微软雅黑"/>
        <family val="2"/>
        <charset val="134"/>
      </rPr>
      <t>扁铁</t>
    </r>
    <r>
      <rPr>
        <sz val="11"/>
        <color theme="1"/>
        <rFont val="Arial"/>
        <family val="2"/>
      </rPr>
      <t>+24ps rollers</t>
    </r>
    <phoneticPr fontId="2" type="noConversion"/>
  </si>
  <si>
    <t>P25683</t>
    <phoneticPr fontId="2" type="noConversion"/>
  </si>
  <si>
    <t>1050*518*905</t>
    <phoneticPr fontId="2" type="noConversion"/>
  </si>
  <si>
    <t>1130*980*1090*1PC</t>
    <phoneticPr fontId="2" type="noConversion"/>
  </si>
  <si>
    <t>INGHOR, S.A</t>
  </si>
  <si>
    <t>8497</t>
  </si>
  <si>
    <t>槽钢-电镀</t>
  </si>
  <si>
    <t>HTB010841</t>
    <phoneticPr fontId="2" type="noConversion"/>
  </si>
  <si>
    <t>1110*518*996</t>
    <phoneticPr fontId="2" type="noConversion"/>
  </si>
  <si>
    <t>USD12.28/1190*1080*400*1pc</t>
    <phoneticPr fontId="2" type="noConversion"/>
  </si>
  <si>
    <t>71000987</t>
    <phoneticPr fontId="2" type="noConversion"/>
  </si>
  <si>
    <t>2210*990*1070*1PC</t>
  </si>
  <si>
    <t>crown seal public company limited</t>
  </si>
  <si>
    <t>45607957</t>
  </si>
  <si>
    <t>285*208*270mm/14.5kgs</t>
    <phoneticPr fontId="2" type="noConversion"/>
  </si>
  <si>
    <t>滚轮接头</t>
  </si>
  <si>
    <t>PIKO PACK METAL PACKAGING</t>
  </si>
  <si>
    <t>20240916</t>
  </si>
  <si>
    <t>460*320*320</t>
    <phoneticPr fontId="2" type="noConversion"/>
  </si>
  <si>
    <t>110064966</t>
    <phoneticPr fontId="2" type="noConversion"/>
  </si>
  <si>
    <t>460*320*470</t>
  </si>
  <si>
    <t>佛山德力凯希包装机械有限公司</t>
  </si>
  <si>
    <t>20240924</t>
  </si>
  <si>
    <t>槽钢炉架</t>
  </si>
  <si>
    <t>2200*990*1270*1pc(250ps);1130*990*1070*1pc(75ps);1130*990*400*1pc(25ps)</t>
    <phoneticPr fontId="2" type="noConversion"/>
  </si>
  <si>
    <t>2404858</t>
    <phoneticPr fontId="2" type="noConversion"/>
  </si>
  <si>
    <t>2250*990*1270*1pc</t>
  </si>
  <si>
    <t>8667</t>
    <phoneticPr fontId="2" type="noConversion"/>
  </si>
  <si>
    <t>A22671加高25mm</t>
    <phoneticPr fontId="2" type="noConversion"/>
  </si>
  <si>
    <t>11/22,12/25</t>
    <phoneticPr fontId="2" type="noConversion"/>
  </si>
  <si>
    <t>2110*1190*1270*30ps;1080*1190*1070*5</t>
    <phoneticPr fontId="2" type="noConversion"/>
  </si>
  <si>
    <t>张家港旭冉包装材料有限公司</t>
    <phoneticPr fontId="2" type="noConversion"/>
  </si>
  <si>
    <t>20241014</t>
  </si>
  <si>
    <t>SF0261472094726</t>
  </si>
  <si>
    <t>张家港旭冉包装材料有限公司</t>
  </si>
  <si>
    <t>20241205</t>
    <phoneticPr fontId="2" type="noConversion"/>
  </si>
  <si>
    <t>物流送广东380.00</t>
    <phoneticPr fontId="2" type="noConversion"/>
  </si>
  <si>
    <t>CROWN FOOD PACKAGING (THAILAND) PUBLIC CO.,LTD.</t>
    <phoneticPr fontId="2" type="noConversion"/>
  </si>
  <si>
    <t>1420012704</t>
    <phoneticPr fontId="2" type="noConversion"/>
  </si>
  <si>
    <t>扁铁-32rollers</t>
    <phoneticPr fontId="2" type="noConversion"/>
  </si>
  <si>
    <t>1065*518*908</t>
    <phoneticPr fontId="2" type="noConversion"/>
  </si>
  <si>
    <t>2240*990*1270*16ps,2240*990*920*1pc</t>
  </si>
  <si>
    <t>20693</t>
    <phoneticPr fontId="2" type="noConversion"/>
  </si>
  <si>
    <t>PERM-IBM-1110518996</t>
    <phoneticPr fontId="2" type="noConversion"/>
  </si>
  <si>
    <t>1200*1080*1050*1pc</t>
  </si>
  <si>
    <t>20702</t>
    <phoneticPr fontId="2" type="noConversion"/>
  </si>
  <si>
    <t>1050*845(3.3KG)</t>
    <phoneticPr fontId="2" type="noConversion"/>
  </si>
  <si>
    <t>2320*930*1210*26ps</t>
  </si>
  <si>
    <t>20241111</t>
  </si>
  <si>
    <t>扁铁炉架</t>
  </si>
  <si>
    <t>BLK-23-0010-K-1</t>
    <phoneticPr fontId="2" type="noConversion"/>
  </si>
  <si>
    <t>1083*580*1096</t>
  </si>
  <si>
    <t>USD13.3, 1170*1180*120, box20kgs</t>
    <phoneticPr fontId="2" type="noConversion"/>
  </si>
  <si>
    <t>20723</t>
    <phoneticPr fontId="2" type="noConversion"/>
  </si>
  <si>
    <t>2406080-1</t>
    <phoneticPr fontId="2" type="noConversion"/>
  </si>
  <si>
    <t>2280*1070*1270*27ps,2280*1070*890*1pc,2280*1070*620*1pc</t>
  </si>
  <si>
    <t>2406080-2</t>
    <phoneticPr fontId="2" type="noConversion"/>
  </si>
  <si>
    <t>2250*990*1270*2ps,1150*990*620*2pc</t>
  </si>
  <si>
    <t>2406080-3</t>
    <phoneticPr fontId="2" type="noConversion"/>
  </si>
  <si>
    <t>Y3041</t>
    <phoneticPr fontId="2" type="noConversion"/>
  </si>
  <si>
    <t>2280*1070*1270*2ps,1170*1070*670*2pc</t>
  </si>
  <si>
    <t>2406080-4</t>
    <phoneticPr fontId="2" type="noConversion"/>
  </si>
  <si>
    <t>管架-不电镀</t>
    <phoneticPr fontId="2" type="noConversion"/>
  </si>
  <si>
    <t>E51630</t>
    <phoneticPr fontId="2" type="noConversion"/>
  </si>
  <si>
    <t>15boxes*2280*1070*1270mm，1box*2280*1070*870</t>
  </si>
  <si>
    <t>PC000078</t>
    <phoneticPr fontId="2" type="noConversion"/>
  </si>
  <si>
    <t>2110*1190*1270*14ps;1080*1190*1070*5</t>
  </si>
  <si>
    <t>633409</t>
    <phoneticPr fontId="2" type="noConversion"/>
  </si>
  <si>
    <t>PIKO-FLT-10835801096</t>
    <phoneticPr fontId="2" type="noConversion"/>
  </si>
  <si>
    <t>2280*1180*1270*11PS</t>
  </si>
  <si>
    <t>K.S. Tin Printer Co. Ltd</t>
    <phoneticPr fontId="2" type="noConversion"/>
  </si>
  <si>
    <t>20241204</t>
    <phoneticPr fontId="2" type="noConversion"/>
  </si>
  <si>
    <t>似X6168</t>
    <phoneticPr fontId="2" type="noConversion"/>
  </si>
  <si>
    <t>comm. Usd2,14boxes*2200*990*1270</t>
  </si>
  <si>
    <t>SPO#I-089/2024</t>
    <phoneticPr fontId="2" type="noConversion"/>
  </si>
  <si>
    <t>2280*1070*1270*15ps，1170*1070*620*1pc; 2280*1070*1270*15ps(255*14+250*1)</t>
    <phoneticPr fontId="2" type="noConversion"/>
  </si>
  <si>
    <t>2400086</t>
    <phoneticPr fontId="2" type="noConversion"/>
  </si>
  <si>
    <t>PFA滚轮</t>
    <phoneticPr fontId="2" type="noConversion"/>
  </si>
  <si>
    <t>OD14.5x ID4.6 x 2mm</t>
    <phoneticPr fontId="2" type="noConversion"/>
  </si>
  <si>
    <t>1CARTON BOX/13PS SMALL BOXES</t>
  </si>
  <si>
    <t>2400087</t>
    <phoneticPr fontId="2" type="noConversion"/>
  </si>
  <si>
    <t xml:space="preserve">  2400088</t>
    <phoneticPr fontId="2" type="noConversion"/>
  </si>
  <si>
    <t>槽钢23PS ROLLERS-电镀</t>
    <phoneticPr fontId="2" type="noConversion"/>
  </si>
  <si>
    <t>A22671改</t>
    <phoneticPr fontId="2" type="noConversion"/>
  </si>
  <si>
    <t>1085*518*999</t>
    <phoneticPr fontId="2" type="noConversion"/>
  </si>
  <si>
    <t xml:space="preserve">2280*1080*1270*15ps, 2280*1080*630*1ps, </t>
  </si>
  <si>
    <t>20241206-1</t>
    <phoneticPr fontId="2" type="noConversion"/>
  </si>
  <si>
    <t>1045*520*914</t>
    <phoneticPr fontId="2" type="noConversion"/>
  </si>
  <si>
    <t>1120*990*1050*1pc</t>
  </si>
  <si>
    <t>20241206</t>
    <phoneticPr fontId="2" type="noConversion"/>
  </si>
  <si>
    <t>HS-FLT-1085515903</t>
    <phoneticPr fontId="2" type="noConversion"/>
  </si>
  <si>
    <t>1085*515*903</t>
    <phoneticPr fontId="2" type="noConversion"/>
  </si>
  <si>
    <t>2280*980*1050*2ps</t>
  </si>
  <si>
    <t>OP222400829</t>
    <phoneticPr fontId="2" type="noConversion"/>
  </si>
  <si>
    <t>SPT07-003084</t>
    <phoneticPr fontId="2" type="noConversion"/>
  </si>
  <si>
    <t>1040*518*944</t>
    <phoneticPr fontId="2" type="noConversion"/>
  </si>
  <si>
    <t>2190*1030*1490*1pc</t>
  </si>
  <si>
    <t>2500546</t>
    <phoneticPr fontId="2" type="noConversion"/>
  </si>
  <si>
    <t>2280*1070*1270*8ps</t>
  </si>
  <si>
    <t>634183</t>
    <phoneticPr fontId="2" type="noConversion"/>
  </si>
  <si>
    <t>46*26*15cm</t>
    <phoneticPr fontId="2" type="noConversion"/>
  </si>
  <si>
    <t>S9383</t>
    <phoneticPr fontId="2" type="noConversion"/>
  </si>
  <si>
    <t>1130*990*1195mm*6ps</t>
  </si>
  <si>
    <t>20250224</t>
    <phoneticPr fontId="2" type="noConversion"/>
  </si>
  <si>
    <t>槽钢炉架-电镀</t>
    <phoneticPr fontId="2" type="noConversion"/>
  </si>
  <si>
    <t>LOGO定制，分三批2200*980*1050*10ps*3</t>
  </si>
  <si>
    <t>2501263</t>
    <phoneticPr fontId="2" type="noConversion"/>
  </si>
  <si>
    <t>2280*1070*1270*24ps</t>
  </si>
  <si>
    <t>2501394</t>
    <phoneticPr fontId="2" type="noConversion"/>
  </si>
  <si>
    <t>2240*1030*1070*3ps(200+400)</t>
  </si>
  <si>
    <t>2501447</t>
    <phoneticPr fontId="2" type="noConversion"/>
  </si>
  <si>
    <t>2280*1070*1270*24PS</t>
  </si>
  <si>
    <t>2501457-1</t>
    <phoneticPr fontId="2" type="noConversion"/>
  </si>
  <si>
    <t>2260*990*1070*2ps</t>
  </si>
  <si>
    <t>2501457-2</t>
    <phoneticPr fontId="2" type="noConversion"/>
  </si>
  <si>
    <t>2260*990*1070*6ps,2260*990*1320*6ps;2280*990*1270*1pc</t>
  </si>
  <si>
    <t>71001129</t>
    <phoneticPr fontId="2" type="noConversion"/>
  </si>
  <si>
    <t>1085*569*1098</t>
    <phoneticPr fontId="2" type="noConversion"/>
  </si>
  <si>
    <t>2boxes*2280*1180*1070</t>
  </si>
  <si>
    <t>PC000454</t>
    <phoneticPr fontId="2" type="noConversion"/>
  </si>
  <si>
    <t>HTB PARRILLA</t>
    <phoneticPr fontId="2" type="noConversion"/>
  </si>
  <si>
    <t>2406389</t>
    <phoneticPr fontId="2" type="noConversion"/>
  </si>
  <si>
    <t>管子-不电镀</t>
    <phoneticPr fontId="2" type="noConversion"/>
  </si>
  <si>
    <t>2500955</t>
    <phoneticPr fontId="2" type="noConversion"/>
  </si>
  <si>
    <t>D02561</t>
    <phoneticPr fontId="2" type="noConversion"/>
  </si>
  <si>
    <t>700*518</t>
    <phoneticPr fontId="2" type="noConversion"/>
  </si>
  <si>
    <t>1560*590*770*1pc</t>
  </si>
  <si>
    <t>2501782</t>
    <phoneticPr fontId="2" type="noConversion"/>
  </si>
  <si>
    <t>D43231A</t>
    <phoneticPr fontId="2" type="noConversion"/>
  </si>
  <si>
    <t>2280*1070*1270*12ps(1190*1PC)，29mm clip</t>
  </si>
  <si>
    <t>2501794</t>
    <phoneticPr fontId="2" type="noConversion"/>
  </si>
  <si>
    <t>1100*508*1348</t>
    <phoneticPr fontId="2" type="noConversion"/>
  </si>
  <si>
    <t>2290*1420*1270*4ps*150, 67mm*1pc*50ps</t>
  </si>
  <si>
    <t>Graphiconsult Aps</t>
    <phoneticPr fontId="2" type="noConversion"/>
  </si>
  <si>
    <t>20250307-1</t>
    <phoneticPr fontId="2" type="noConversion"/>
  </si>
  <si>
    <t>comm. 10%，1boxe*2280*1070*1100</t>
  </si>
  <si>
    <t>Graphiconsult Aps</t>
  </si>
  <si>
    <t>20250307-2</t>
  </si>
  <si>
    <r>
      <t>comm. 10%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Arial"/>
        <family val="2"/>
      </rPr>
      <t>1box*2200*990*1070</t>
    </r>
    <phoneticPr fontId="2" type="noConversion"/>
  </si>
  <si>
    <t>20250307-3</t>
    <phoneticPr fontId="2" type="noConversion"/>
  </si>
  <si>
    <t>comm. 10%</t>
  </si>
  <si>
    <t>EPCCS GmbH</t>
  </si>
  <si>
    <t>1028729</t>
    <phoneticPr fontId="2" type="noConversion"/>
  </si>
  <si>
    <t>TW114-4</t>
    <phoneticPr fontId="2" type="noConversion"/>
  </si>
  <si>
    <t>1065*518*934</t>
  </si>
  <si>
    <t>1110*980*50</t>
    <phoneticPr fontId="2" type="noConversion"/>
  </si>
  <si>
    <t>2501997</t>
    <phoneticPr fontId="2" type="noConversion"/>
  </si>
  <si>
    <t>分600，800装;2260*990*1070*7PS</t>
  </si>
  <si>
    <t>20250328</t>
  </si>
  <si>
    <t>SF1135338507094-含900运费</t>
  </si>
  <si>
    <t>PC000397</t>
    <phoneticPr fontId="2" type="noConversion"/>
  </si>
  <si>
    <t xml:space="preserve">HTB.01.08.42 </t>
    <phoneticPr fontId="2" type="noConversion"/>
  </si>
  <si>
    <t>2200*990*1270*2PS</t>
  </si>
  <si>
    <t>125-0310</t>
    <phoneticPr fontId="2" type="noConversion"/>
  </si>
  <si>
    <t>OD14.5x ID4.6 x 2.2mm</t>
    <phoneticPr fontId="2" type="noConversion"/>
  </si>
  <si>
    <t>45*27*23*3PS,48KGS</t>
  </si>
  <si>
    <t>2405732</t>
    <phoneticPr fontId="2" type="noConversion"/>
  </si>
  <si>
    <t>分3500*2ps;2280*1070*1270*28ps</t>
  </si>
  <si>
    <t>1735285</t>
    <phoneticPr fontId="2" type="noConversion"/>
  </si>
  <si>
    <t>450*300*430MM*1</t>
  </si>
  <si>
    <t>PC000596-1</t>
    <phoneticPr fontId="2" type="noConversion"/>
  </si>
  <si>
    <t>996*1110</t>
    <phoneticPr fontId="2" type="noConversion"/>
  </si>
  <si>
    <t>PC000596-2</t>
    <phoneticPr fontId="2" type="noConversion"/>
  </si>
  <si>
    <t>2200*990*1270*6PS</t>
  </si>
  <si>
    <t>PC000596-3</t>
    <phoneticPr fontId="2" type="noConversion"/>
  </si>
  <si>
    <t>2200*990*1270*4PS</t>
  </si>
  <si>
    <t>110069933-1</t>
    <phoneticPr fontId="2" type="noConversion"/>
  </si>
  <si>
    <t>LTG-FLT-1045518905</t>
    <phoneticPr fontId="2" type="noConversion"/>
  </si>
  <si>
    <t>2200*980*1050*1pc</t>
  </si>
  <si>
    <t>110069933-2</t>
    <phoneticPr fontId="2" type="noConversion"/>
  </si>
  <si>
    <t>扁铁-电镀+22rollers</t>
    <phoneticPr fontId="2" type="noConversion"/>
  </si>
  <si>
    <t>2200*980*1170*1pc</t>
  </si>
  <si>
    <t>125-0310-2</t>
    <phoneticPr fontId="2" type="noConversion"/>
  </si>
  <si>
    <t>天津（中粮）</t>
  </si>
  <si>
    <t>PLM-SP20250403TJ</t>
  </si>
  <si>
    <t>管子-6rollers</t>
  </si>
  <si>
    <r>
      <t>2260*990*1660*8PS(</t>
    </r>
    <r>
      <rPr>
        <sz val="11"/>
        <color theme="1"/>
        <rFont val="宋体"/>
        <family val="2"/>
        <charset val="134"/>
      </rPr>
      <t>另304*11+306，4只旧木箱）</t>
    </r>
    <phoneticPr fontId="2" type="noConversion"/>
  </si>
  <si>
    <t>71005135</t>
    <phoneticPr fontId="2" type="noConversion"/>
  </si>
  <si>
    <t>2240*1030*1170</t>
  </si>
  <si>
    <t>2502874</t>
    <phoneticPr fontId="2" type="noConversion"/>
  </si>
  <si>
    <r>
      <t>2280*1070*1270*22ps</t>
    </r>
    <r>
      <rPr>
        <sz val="11"/>
        <rFont val="微软雅黑"/>
        <family val="2"/>
        <charset val="134"/>
      </rPr>
      <t>，</t>
    </r>
    <r>
      <rPr>
        <sz val="11"/>
        <rFont val="Arial"/>
        <family val="2"/>
      </rPr>
      <t>570*1pc, 1020*3ps</t>
    </r>
    <phoneticPr fontId="2" type="noConversion"/>
  </si>
  <si>
    <t>2502941</t>
    <phoneticPr fontId="2" type="noConversion"/>
  </si>
  <si>
    <t>2200*980*1220*10ps</t>
  </si>
  <si>
    <t>1735579</t>
    <phoneticPr fontId="2" type="noConversion"/>
  </si>
  <si>
    <t>430*290*500mm</t>
  </si>
  <si>
    <t>安徽昇兴</t>
  </si>
  <si>
    <t>CG2025051603-LL</t>
  </si>
  <si>
    <t>扁铁-电镀-26ps</t>
  </si>
  <si>
    <t>LTG-FLT-1045518906</t>
  </si>
  <si>
    <t>1045*518*906</t>
  </si>
  <si>
    <r>
      <t>2260*990*1660*320ps*12(</t>
    </r>
    <r>
      <rPr>
        <sz val="11"/>
        <color theme="1"/>
        <rFont val="等线"/>
        <family val="2"/>
        <charset val="134"/>
      </rPr>
      <t>实发3800</t>
    </r>
    <r>
      <rPr>
        <sz val="11"/>
        <color theme="1"/>
        <rFont val="Arial"/>
        <family val="2"/>
      </rPr>
      <t>ps)</t>
    </r>
    <phoneticPr fontId="2" type="noConversion"/>
  </si>
  <si>
    <t>20250521</t>
  </si>
  <si>
    <t>OD14.5x ID4.6 x 2.2mm</t>
  </si>
  <si>
    <t>32*23*17CM,DHL7430256315</t>
    <phoneticPr fontId="2" type="noConversion"/>
  </si>
  <si>
    <t>Colep Packaging Portugal</t>
    <phoneticPr fontId="2" type="noConversion"/>
  </si>
  <si>
    <t>4500067597</t>
    <phoneticPr fontId="2" type="noConversion"/>
  </si>
  <si>
    <t>LTG-04-1045</t>
    <phoneticPr fontId="2" type="noConversion"/>
  </si>
  <si>
    <t>1045*518*907</t>
    <phoneticPr fontId="2" type="noConversion"/>
  </si>
  <si>
    <t>2210*990*1270*17ps*224,1170*1*192ps</t>
  </si>
  <si>
    <t>S9540</t>
  </si>
  <si>
    <t>MINI WICKET</t>
  </si>
  <si>
    <t>523*260*456mm</t>
  </si>
  <si>
    <t>2503356</t>
    <phoneticPr fontId="2" type="noConversion"/>
  </si>
  <si>
    <t>2200*980*1050*3ps</t>
  </si>
  <si>
    <t>2503725</t>
    <phoneticPr fontId="2" type="noConversion"/>
  </si>
  <si>
    <t>2280*1070*1170*1pc</t>
  </si>
  <si>
    <t>2502828</t>
    <phoneticPr fontId="2" type="noConversion"/>
  </si>
  <si>
    <t>2250*990*1020*4ps</t>
  </si>
  <si>
    <t>2504152</t>
    <phoneticPr fontId="2" type="noConversion"/>
  </si>
  <si>
    <t>2280*1070*1270*26ps</t>
  </si>
  <si>
    <t>2504153</t>
    <phoneticPr fontId="2" type="noConversion"/>
  </si>
  <si>
    <t>1560*610*920*3ps交叉放100只一边</t>
  </si>
  <si>
    <t>2504154</t>
    <phoneticPr fontId="2" type="noConversion"/>
  </si>
  <si>
    <t>X9485</t>
    <phoneticPr fontId="2" type="noConversion"/>
  </si>
  <si>
    <t>2200*980*620*1PC</t>
  </si>
  <si>
    <t>2504545</t>
    <phoneticPr fontId="2" type="noConversion"/>
  </si>
  <si>
    <t>2280*1070*1270*11ps</t>
  </si>
  <si>
    <t>2504546</t>
    <phoneticPr fontId="2" type="noConversion"/>
  </si>
  <si>
    <t>2280*1070*1270*15ps+800*1（140ps)</t>
  </si>
  <si>
    <t>2504547</t>
    <phoneticPr fontId="2" type="noConversion"/>
  </si>
  <si>
    <t>2504548</t>
    <phoneticPr fontId="2" type="noConversion"/>
  </si>
  <si>
    <t>2280*1070*1270*14*250ps+680*1(140)</t>
    <phoneticPr fontId="2" type="noConversion"/>
  </si>
  <si>
    <t>110072424</t>
    <phoneticPr fontId="2" type="noConversion"/>
  </si>
  <si>
    <t>扁铁-电镀22滚轮</t>
    <phoneticPr fontId="2" type="noConversion"/>
  </si>
  <si>
    <t>2200*990*1270*14*240，820mm*1</t>
  </si>
  <si>
    <t>2504679</t>
    <phoneticPr fontId="2" type="noConversion"/>
  </si>
  <si>
    <t>E69043</t>
    <phoneticPr fontId="2" type="noConversion"/>
  </si>
  <si>
    <t>1020*518*850</t>
    <phoneticPr fontId="2" type="noConversion"/>
  </si>
  <si>
    <t>1840*1100*1270*8*75ps</t>
  </si>
  <si>
    <t>2505061</t>
    <phoneticPr fontId="2" type="noConversion"/>
  </si>
  <si>
    <t>2505062</t>
    <phoneticPr fontId="2" type="noConversion"/>
  </si>
  <si>
    <t>2505312</t>
    <phoneticPr fontId="2" type="noConversion"/>
  </si>
  <si>
    <t>2200*990*1070*6ps</t>
  </si>
  <si>
    <t>PC001110</t>
    <phoneticPr fontId="2" type="noConversion"/>
  </si>
  <si>
    <t>HTB.01.08.41</t>
    <phoneticPr fontId="2" type="noConversion"/>
  </si>
  <si>
    <t>2110*1190*1270*28*250，1080*1190*1070*10*100</t>
  </si>
  <si>
    <t>71001258</t>
    <phoneticPr fontId="2" type="noConversion"/>
  </si>
  <si>
    <t>2280*1180*1070*2ps</t>
  </si>
  <si>
    <t>71001260</t>
    <phoneticPr fontId="2" type="noConversion"/>
  </si>
  <si>
    <t>2280*1180*1070*1pc</t>
  </si>
  <si>
    <t>074-2025</t>
    <phoneticPr fontId="2" type="noConversion"/>
  </si>
  <si>
    <t>DP2025090401</t>
    <phoneticPr fontId="2" type="noConversion"/>
  </si>
  <si>
    <t>1085*518*996</t>
  </si>
  <si>
    <t>2280*1070*1070*2ps</t>
    <phoneticPr fontId="2" type="noConversion"/>
  </si>
  <si>
    <t>DP2025090402</t>
  </si>
  <si>
    <t>槽钢加27PS轮</t>
  </si>
  <si>
    <r>
      <t>1180*1070*1120*1pc+1000PS 14.5mm</t>
    </r>
    <r>
      <rPr>
        <sz val="11"/>
        <color theme="1"/>
        <rFont val="宋体"/>
        <family val="2"/>
        <charset val="134"/>
      </rPr>
      <t>滚轮+1000</t>
    </r>
    <r>
      <rPr>
        <sz val="11"/>
        <color theme="1"/>
        <rFont val="Arial"/>
        <family val="2"/>
      </rPr>
      <t>ps</t>
    </r>
    <r>
      <rPr>
        <sz val="11"/>
        <color theme="1"/>
        <rFont val="宋体"/>
        <family val="2"/>
        <charset val="134"/>
      </rPr>
      <t>电镀平轴</t>
    </r>
    <phoneticPr fontId="2" type="noConversion"/>
  </si>
  <si>
    <t>2505661</t>
    <phoneticPr fontId="2" type="noConversion"/>
  </si>
  <si>
    <t>860*620*920*1</t>
  </si>
  <si>
    <t>泰元金属工业股份有限公司</t>
    <phoneticPr fontId="2" type="noConversion"/>
  </si>
  <si>
    <t>114000503</t>
    <phoneticPr fontId="2" type="noConversion"/>
  </si>
  <si>
    <t>2200*990*1270*16PS</t>
  </si>
  <si>
    <t>艾法美佳（杭州）贸易有限公司</t>
    <phoneticPr fontId="2" type="noConversion"/>
  </si>
  <si>
    <t>XSHT-20250429-025</t>
    <phoneticPr fontId="2" type="noConversion"/>
  </si>
  <si>
    <t>71001311</t>
    <phoneticPr fontId="2" type="noConversion"/>
  </si>
  <si>
    <t>2506294</t>
    <phoneticPr fontId="2" type="noConversion"/>
  </si>
  <si>
    <t>D13259</t>
    <phoneticPr fontId="2" type="noConversion"/>
  </si>
  <si>
    <t>637388</t>
    <phoneticPr fontId="2" type="noConversion"/>
  </si>
  <si>
    <t>240*160*50mm*5ps*40ps,1ply box</t>
  </si>
  <si>
    <t>荣恒</t>
  </si>
  <si>
    <t>20250822</t>
  </si>
  <si>
    <t>槽钢带滚轮</t>
  </si>
  <si>
    <t>A22671改</t>
  </si>
  <si>
    <t>1085*518*890</t>
  </si>
  <si>
    <t>2280*970*1270*15*240ps;2280*970*550*1*80</t>
    <phoneticPr fontId="2" type="noConversion"/>
  </si>
  <si>
    <t>20251026-1</t>
  </si>
  <si>
    <t>槽钢带23轮带支撑</t>
  </si>
  <si>
    <t>20251026-2</t>
  </si>
  <si>
    <t>齐河书豪包装有限公司</t>
    <phoneticPr fontId="2" type="noConversion"/>
  </si>
  <si>
    <t>20250910</t>
    <phoneticPr fontId="2" type="noConversion"/>
  </si>
  <si>
    <t>1075*552</t>
    <phoneticPr fontId="2" type="noConversion"/>
  </si>
  <si>
    <t>2260*990*1070*1PC</t>
  </si>
  <si>
    <t>PC001562-1</t>
  </si>
  <si>
    <t>槽钢-不电镀</t>
  </si>
  <si>
    <t>PC001562-2</t>
  </si>
  <si>
    <t>HTB.01.08.41</t>
  </si>
  <si>
    <t>状态</t>
  </si>
  <si>
    <t>订单日期</t>
  </si>
  <si>
    <t>客户</t>
  </si>
  <si>
    <t>订单号</t>
  </si>
  <si>
    <t>交货日期</t>
  </si>
  <si>
    <t>交易条款</t>
  </si>
  <si>
    <t>付款方式</t>
  </si>
  <si>
    <t>运输方式</t>
  </si>
  <si>
    <t>产品名称</t>
  </si>
  <si>
    <t>规格</t>
  </si>
  <si>
    <t>图号</t>
  </si>
  <si>
    <t>单位</t>
  </si>
  <si>
    <t>单价</t>
  </si>
  <si>
    <t>数量</t>
  </si>
  <si>
    <t>金额</t>
  </si>
  <si>
    <t>货币</t>
  </si>
  <si>
    <t>备注</t>
  </si>
  <si>
    <t>100%TT</t>
  </si>
  <si>
    <t>100%TT</t>
    <phoneticPr fontId="2" type="noConversion"/>
  </si>
  <si>
    <t>10/40/40/10</t>
    <phoneticPr fontId="2" type="noConversion"/>
  </si>
  <si>
    <t>EUR</t>
    <phoneticPr fontId="2" type="noConversion"/>
  </si>
  <si>
    <t>只</t>
    <phoneticPr fontId="2" type="noConversion"/>
  </si>
  <si>
    <t>海运</t>
    <phoneticPr fontId="2" type="noConversion"/>
  </si>
  <si>
    <t>100%</t>
    <phoneticPr fontId="2" type="noConversion"/>
  </si>
  <si>
    <t>30/70</t>
    <phoneticPr fontId="2" type="noConversion"/>
  </si>
  <si>
    <t>20TT80LC60DAYS</t>
    <phoneticPr fontId="2" type="noConversion"/>
  </si>
  <si>
    <t>DAP</t>
    <phoneticPr fontId="2" type="noConversion"/>
  </si>
  <si>
    <r>
      <t>2280*1170*1470*2ps,</t>
    </r>
    <r>
      <rPr>
        <sz val="11"/>
        <color theme="1"/>
        <rFont val="宋体"/>
        <family val="2"/>
        <charset val="134"/>
      </rPr>
      <t>尺寸做错赔偿</t>
    </r>
    <phoneticPr fontId="2" type="noConversion"/>
  </si>
  <si>
    <t>快递</t>
    <phoneticPr fontId="2" type="noConversion"/>
  </si>
  <si>
    <r>
      <t>2200*980*1270*2</t>
    </r>
    <r>
      <rPr>
        <sz val="11"/>
        <color theme="1"/>
        <rFont val="宋体"/>
        <family val="2"/>
      </rPr>
      <t>箱</t>
    </r>
    <r>
      <rPr>
        <sz val="11"/>
        <color theme="1"/>
        <rFont val="等线"/>
        <family val="2"/>
        <charset val="134"/>
      </rPr>
      <t>，</t>
    </r>
    <r>
      <rPr>
        <sz val="11"/>
        <color theme="1"/>
        <rFont val="Arial"/>
        <family val="2"/>
      </rPr>
      <t>CNY20markup</t>
    </r>
    <phoneticPr fontId="2" type="noConversion"/>
  </si>
  <si>
    <t>30/20/40/10</t>
    <phoneticPr fontId="2" type="noConversion"/>
  </si>
  <si>
    <t>10/40/40/11</t>
  </si>
  <si>
    <t>40/60</t>
    <phoneticPr fontId="2" type="noConversion"/>
  </si>
  <si>
    <t>空运</t>
    <phoneticPr fontId="2" type="noConversion"/>
  </si>
  <si>
    <t xml:space="preserve">CFR </t>
    <phoneticPr fontId="2" type="noConversion"/>
  </si>
  <si>
    <r>
      <t>2280*1115*1270*16ps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Arial"/>
        <family val="2"/>
      </rPr>
      <t>bangkok</t>
    </r>
    <phoneticPr fontId="2" type="noConversion"/>
  </si>
  <si>
    <t>20/80</t>
    <phoneticPr fontId="2" type="noConversion"/>
  </si>
  <si>
    <t>广州</t>
    <phoneticPr fontId="2" type="noConversion"/>
  </si>
  <si>
    <t>DDP</t>
    <phoneticPr fontId="2" type="noConversion"/>
  </si>
  <si>
    <t>sf1140076704810</t>
    <phoneticPr fontId="2" type="noConversion"/>
  </si>
  <si>
    <r>
      <t>180*100*60mm, 1kg,1.21</t>
    </r>
    <r>
      <rPr>
        <sz val="11"/>
        <color theme="1"/>
        <rFont val="宋体"/>
        <family val="2"/>
        <charset val="134"/>
      </rPr>
      <t>由赖涛汇个人卡</t>
    </r>
    <r>
      <rPr>
        <sz val="11"/>
        <color theme="1"/>
        <rFont val="Arial"/>
        <family val="2"/>
      </rPr>
      <t>1950</t>
    </r>
    <phoneticPr fontId="2" type="noConversion"/>
  </si>
  <si>
    <t>30TT/70LC</t>
    <phoneticPr fontId="2" type="noConversion"/>
  </si>
  <si>
    <t>陆运</t>
    <phoneticPr fontId="2" type="noConversion"/>
  </si>
  <si>
    <t>USD</t>
    <phoneticPr fontId="2" type="noConversion"/>
  </si>
  <si>
    <t>CNY</t>
    <phoneticPr fontId="2" type="noConversion"/>
  </si>
  <si>
    <t>已出货</t>
    <phoneticPr fontId="2" type="noConversion"/>
  </si>
  <si>
    <t>电镀</t>
    <phoneticPr fontId="2" type="noConversion"/>
  </si>
  <si>
    <t>LOGO</t>
    <phoneticPr fontId="2" type="noConversion"/>
  </si>
  <si>
    <t>无</t>
    <phoneticPr fontId="2" type="noConversion"/>
  </si>
  <si>
    <t>LONGLI</t>
    <phoneticPr fontId="2" type="noConversion"/>
  </si>
  <si>
    <t>EST</t>
    <phoneticPr fontId="2" type="noConversion"/>
  </si>
  <si>
    <t>EPCCS</t>
    <phoneticPr fontId="2" type="noConversion"/>
  </si>
  <si>
    <t>CC</t>
    <phoneticPr fontId="2" type="noConversion"/>
  </si>
  <si>
    <t>HMD</t>
    <phoneticPr fontId="2" type="noConversion"/>
  </si>
  <si>
    <t>INGHOR</t>
    <phoneticPr fontId="2" type="noConversion"/>
  </si>
  <si>
    <t>KBA</t>
    <phoneticPr fontId="2" type="noConversion"/>
  </si>
  <si>
    <t>PERM</t>
    <phoneticPr fontId="2" type="noConversion"/>
  </si>
  <si>
    <t>J</t>
    <phoneticPr fontId="2" type="noConversion"/>
  </si>
  <si>
    <t>否</t>
    <phoneticPr fontId="2" type="noConversion"/>
  </si>
  <si>
    <t>是</t>
    <phoneticPr fontId="2" type="noConversion"/>
  </si>
  <si>
    <t>待出货</t>
    <phoneticPr fontId="2" type="noConversion"/>
  </si>
  <si>
    <t>2507851</t>
    <phoneticPr fontId="2" type="noConversion"/>
  </si>
  <si>
    <t>2507852</t>
  </si>
  <si>
    <t>2507853</t>
  </si>
  <si>
    <t>2200*990*1270*7PS</t>
    <phoneticPr fontId="2" type="noConversion"/>
  </si>
  <si>
    <t>2250*990*1270*6PS</t>
    <phoneticPr fontId="2" type="noConversion"/>
  </si>
  <si>
    <t>2280*1070*1070*6ps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</si>
</sst>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#,##0.00_ "/>
  </numFmts>
  <fonts count="2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3"/>
      <color theme="1"/>
      <name val="Arial"/>
      <family val="2"/>
    </font>
    <font>
      <sz val="11"/>
      <color theme="1"/>
      <name val="宋体"/>
      <family val="2"/>
    </font>
    <font>
      <sz val="11"/>
      <color theme="1"/>
      <name val="宋体"/>
      <family val="2"/>
      <charset val="134"/>
    </font>
    <font>
      <sz val="11"/>
      <color theme="1"/>
      <name val="Arial"/>
      <family val="2"/>
      <charset val="134"/>
    </font>
    <font>
      <sz val="13"/>
      <color theme="1"/>
      <name val="微软雅黑"/>
      <family val="2"/>
      <charset val="134"/>
    </font>
    <font>
      <sz val="11"/>
      <color theme="1"/>
      <name val="等线"/>
      <family val="2"/>
      <charset val="134"/>
    </font>
    <font>
      <sz val="11"/>
      <color rgb="FFFF0000"/>
      <name val="Arial"/>
      <family val="2"/>
    </font>
    <font>
      <sz val="11"/>
      <name val="Arial"/>
      <family val="2"/>
    </font>
    <font>
      <sz val="13"/>
      <color theme="1"/>
      <name val="Arial"/>
      <family val="2"/>
      <charset val="134"/>
    </font>
    <font>
      <sz val="11"/>
      <name val="微软雅黑"/>
      <family val="2"/>
      <charset val="134"/>
    </font>
    <font>
      <sz val="11"/>
      <color rgb="FFFF0000"/>
      <name val="Arial"/>
      <family val="2"/>
      <charset val="134"/>
    </font>
    <font>
      <b/>
      <sz val="9"/>
      <color indexed="81"/>
      <name val="宋体"/>
      <family val="3"/>
      <charset val="134"/>
    </font>
    <font>
      <sz val="13"/>
      <name val="Arial"/>
      <family val="2"/>
    </font>
    <font>
      <sz val="13"/>
      <color theme="1"/>
      <name val="宋体"/>
      <family val="2"/>
      <charset val="134"/>
    </font>
    <font>
      <sz val="13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 applyAlignment="1">
      <alignment horizontal="left" vertical="center" shrinkToFit="1"/>
    </xf>
    <xf numFmtId="14" fontId="3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40" fontId="3" fillId="0" borderId="0" xfId="0" applyNumberFormat="1" applyFont="1" applyAlignment="1">
      <alignment horizontal="left" vertical="center" shrinkToFit="1"/>
    </xf>
    <xf numFmtId="176" fontId="3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 shrinkToFit="1"/>
    </xf>
    <xf numFmtId="49" fontId="3" fillId="2" borderId="0" xfId="0" applyNumberFormat="1" applyFont="1" applyFill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49" fontId="11" fillId="2" borderId="0" xfId="0" applyNumberFormat="1" applyFont="1" applyFill="1" applyAlignment="1">
      <alignment horizontal="left" vertical="center" shrinkToFit="1"/>
    </xf>
    <xf numFmtId="49" fontId="12" fillId="0" borderId="0" xfId="0" applyNumberFormat="1" applyFont="1" applyAlignment="1">
      <alignment horizontal="left" vertical="center" shrinkToFit="1"/>
    </xf>
    <xf numFmtId="49" fontId="3" fillId="0" borderId="2" xfId="0" applyNumberFormat="1" applyFont="1" applyBorder="1" applyAlignment="1">
      <alignment horizontal="left" vertical="center" shrinkToFit="1"/>
    </xf>
    <xf numFmtId="49" fontId="3" fillId="0" borderId="3" xfId="0" applyNumberFormat="1" applyFont="1" applyBorder="1" applyAlignment="1">
      <alignment horizontal="left" vertical="center" shrinkToFit="1"/>
    </xf>
    <xf numFmtId="0" fontId="3" fillId="4" borderId="0" xfId="0" applyFont="1" applyFill="1" applyAlignment="1">
      <alignment horizontal="left" vertical="center" shrinkToFit="1"/>
    </xf>
    <xf numFmtId="14" fontId="3" fillId="4" borderId="0" xfId="0" applyNumberFormat="1" applyFont="1" applyFill="1" applyAlignment="1">
      <alignment horizontal="left" vertical="center" shrinkToFit="1"/>
    </xf>
    <xf numFmtId="49" fontId="3" fillId="4" borderId="0" xfId="0" applyNumberFormat="1" applyFont="1" applyFill="1" applyAlignment="1">
      <alignment horizontal="left" vertical="center" shrinkToFit="1"/>
    </xf>
    <xf numFmtId="49" fontId="8" fillId="4" borderId="0" xfId="0" applyNumberFormat="1" applyFont="1" applyFill="1" applyAlignment="1">
      <alignment horizontal="left" vertical="center" shrinkToFit="1"/>
    </xf>
    <xf numFmtId="0" fontId="5" fillId="4" borderId="0" xfId="0" applyFont="1" applyFill="1" applyAlignment="1">
      <alignment horizontal="left" vertical="center" shrinkToFit="1"/>
    </xf>
    <xf numFmtId="40" fontId="3" fillId="4" borderId="0" xfId="0" applyNumberFormat="1" applyFont="1" applyFill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14" fontId="3" fillId="5" borderId="0" xfId="0" applyNumberFormat="1" applyFont="1" applyFill="1" applyAlignment="1">
      <alignment horizontal="left" vertical="center" shrinkToFit="1"/>
    </xf>
    <xf numFmtId="49" fontId="3" fillId="5" borderId="0" xfId="0" applyNumberFormat="1" applyFont="1" applyFill="1" applyAlignment="1">
      <alignment horizontal="left" vertical="center" shrinkToFit="1"/>
    </xf>
    <xf numFmtId="0" fontId="5" fillId="5" borderId="0" xfId="0" applyFont="1" applyFill="1" applyAlignment="1">
      <alignment horizontal="left" vertical="center" shrinkToFit="1"/>
    </xf>
    <xf numFmtId="0" fontId="3" fillId="5" borderId="0" xfId="0" applyFont="1" applyFill="1" applyAlignment="1">
      <alignment horizontal="left" vertical="center" shrinkToFit="1"/>
    </xf>
    <xf numFmtId="40" fontId="3" fillId="5" borderId="0" xfId="0" applyNumberFormat="1" applyFont="1" applyFill="1" applyAlignment="1">
      <alignment horizontal="left" vertical="center" shrinkToFit="1"/>
    </xf>
    <xf numFmtId="0" fontId="1" fillId="5" borderId="4" xfId="0" applyFont="1" applyFill="1" applyBorder="1">
      <alignment vertical="center"/>
    </xf>
    <xf numFmtId="40" fontId="11" fillId="2" borderId="0" xfId="0" applyNumberFormat="1" applyFont="1" applyFill="1" applyAlignment="1">
      <alignment horizontal="left" vertical="center" shrinkToFit="1"/>
    </xf>
    <xf numFmtId="14" fontId="11" fillId="2" borderId="0" xfId="0" applyNumberFormat="1" applyFont="1" applyFill="1" applyAlignment="1">
      <alignment horizontal="left" vertical="center" shrinkToFit="1"/>
    </xf>
    <xf numFmtId="49" fontId="3" fillId="6" borderId="0" xfId="0" applyNumberFormat="1" applyFont="1" applyFill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49" fontId="7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49" fontId="11" fillId="0" borderId="0" xfId="0" applyNumberFormat="1" applyFont="1" applyAlignment="1">
      <alignment horizontal="left" vertical="center" shrinkToFit="1"/>
    </xf>
    <xf numFmtId="14" fontId="11" fillId="0" borderId="0" xfId="0" applyNumberFormat="1" applyFont="1" applyAlignment="1">
      <alignment horizontal="left" vertical="center" shrinkToFit="1"/>
    </xf>
    <xf numFmtId="40" fontId="12" fillId="0" borderId="0" xfId="0" applyNumberFormat="1" applyFont="1" applyAlignment="1">
      <alignment horizontal="left" vertical="center" shrinkToFit="1"/>
    </xf>
    <xf numFmtId="14" fontId="12" fillId="0" borderId="0" xfId="0" applyNumberFormat="1" applyFont="1" applyAlignment="1">
      <alignment horizontal="left" vertical="center" shrinkToFit="1"/>
    </xf>
    <xf numFmtId="40" fontId="3" fillId="7" borderId="0" xfId="0" applyNumberFormat="1" applyFont="1" applyFill="1" applyAlignment="1">
      <alignment horizontal="left" vertical="center" shrinkToFit="1"/>
    </xf>
    <xf numFmtId="14" fontId="3" fillId="7" borderId="0" xfId="0" applyNumberFormat="1" applyFont="1" applyFill="1" applyAlignment="1">
      <alignment horizontal="left" vertical="center" shrinkToFit="1"/>
    </xf>
    <xf numFmtId="0" fontId="11" fillId="0" borderId="0" xfId="0" applyFont="1" applyAlignment="1">
      <alignment horizontal="left" vertical="center" shrinkToFit="1"/>
    </xf>
    <xf numFmtId="0" fontId="3" fillId="8" borderId="0" xfId="0" applyFont="1" applyFill="1" applyAlignment="1">
      <alignment horizontal="left" vertical="center" shrinkToFit="1"/>
    </xf>
    <xf numFmtId="14" fontId="3" fillId="8" borderId="0" xfId="0" applyNumberFormat="1" applyFont="1" applyFill="1" applyAlignment="1">
      <alignment horizontal="left" vertical="center" shrinkToFit="1"/>
    </xf>
    <xf numFmtId="49" fontId="11" fillId="8" borderId="0" xfId="0" applyNumberFormat="1" applyFont="1" applyFill="1" applyAlignment="1">
      <alignment horizontal="left" vertical="center" shrinkToFit="1"/>
    </xf>
    <xf numFmtId="49" fontId="3" fillId="8" borderId="0" xfId="0" applyNumberFormat="1" applyFont="1" applyFill="1" applyAlignment="1">
      <alignment horizontal="left" vertical="center" shrinkToFit="1"/>
    </xf>
    <xf numFmtId="0" fontId="5" fillId="8" borderId="0" xfId="0" applyFont="1" applyFill="1" applyAlignment="1">
      <alignment horizontal="left" vertical="center" shrinkToFit="1"/>
    </xf>
    <xf numFmtId="40" fontId="3" fillId="8" borderId="0" xfId="0" applyNumberFormat="1" applyFont="1" applyFill="1" applyAlignment="1">
      <alignment horizontal="left" vertical="center" shrinkToFit="1"/>
    </xf>
    <xf numFmtId="49" fontId="15" fillId="0" borderId="0" xfId="0" applyNumberFormat="1" applyFont="1" applyAlignment="1">
      <alignment horizontal="left" vertical="center" shrinkToFit="1"/>
    </xf>
    <xf numFmtId="40" fontId="3" fillId="9" borderId="0" xfId="0" applyNumberFormat="1" applyFont="1" applyFill="1" applyAlignment="1">
      <alignment horizontal="left" vertical="center" shrinkToFit="1"/>
    </xf>
    <xf numFmtId="14" fontId="3" fillId="9" borderId="0" xfId="0" applyNumberFormat="1" applyFont="1" applyFill="1" applyAlignment="1">
      <alignment horizontal="left" vertical="center" shrinkToFit="1"/>
    </xf>
    <xf numFmtId="49" fontId="4" fillId="0" borderId="0" xfId="0" applyNumberFormat="1" applyFont="1" applyAlignment="1">
      <alignment horizontal="left" vertical="center" shrinkToFit="1"/>
    </xf>
    <xf numFmtId="0" fontId="12" fillId="0" borderId="0" xfId="0" applyFont="1" applyFill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49" fontId="12" fillId="0" borderId="1" xfId="0" applyNumberFormat="1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center" vertical="center" shrinkToFit="1"/>
    </xf>
    <xf numFmtId="40" fontId="12" fillId="0" borderId="1" xfId="0" applyNumberFormat="1" applyFont="1" applyFill="1" applyBorder="1" applyAlignment="1">
      <alignment horizontal="center" vertical="center" shrinkToFit="1"/>
    </xf>
    <xf numFmtId="177" fontId="12" fillId="0" borderId="1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horizontal="left" vertical="center" shrinkToFit="1"/>
    </xf>
    <xf numFmtId="49" fontId="3" fillId="0" borderId="0" xfId="0" applyNumberFormat="1" applyFont="1" applyBorder="1" applyAlignment="1">
      <alignment horizontal="left" vertical="center" shrinkToFit="1"/>
    </xf>
    <xf numFmtId="49" fontId="3" fillId="0" borderId="0" xfId="0" quotePrefix="1" applyNumberFormat="1" applyFont="1" applyAlignment="1">
      <alignment horizontal="left" vertical="center" shrinkToFit="1"/>
    </xf>
    <xf numFmtId="49" fontId="3" fillId="3" borderId="0" xfId="0" applyNumberFormat="1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0" fontId="19" fillId="0" borderId="1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2"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60&#23433;&#20840;&#27983;&#35272;&#22120;&#19979;&#36733;/&#65316;&#65314;&#38283;&#30330;/Excel/QC&#65403;&#65392;&#65400;&#65433;&#30330;&#34920;/&#31777;&#21336;&#12288;&#12377;&#12368;&#20351;&#12360;&#12427;&#12288;QC&#65411;&#65438;&#65392;&#65408;&#65404;-&#654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149b4d6df74c82a/Documents/Asus%20doc/temp/&#25253;&#20215;&#21333;&#31649;&#29702;&#31995;&#3247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七つ道具"/>
      <sheetName val="目次"/>
      <sheetName val="ｸﾞﾗﾌ　ﾖｺ"/>
      <sheetName val="ﾃﾞｰﾀ集計"/>
      <sheetName val="Sheet1"/>
      <sheetName val="ﾃﾞｰﾀ集計 (Cpk)"/>
      <sheetName val="工程能力 (Cpk)"/>
      <sheetName val="工程能力"/>
      <sheetName val="差分集計50"/>
      <sheetName val="差分集計50 (2)"/>
      <sheetName val="1 ﾊﾟﾚｰﾄ図　１ "/>
      <sheetName val="1  ﾊﾟﾚｰﾄ図　２"/>
      <sheetName val="1  ﾊﾟﾚｰﾄ図　　正"/>
      <sheetName val="1  ﾊﾟﾚｰﾄ図 (2)"/>
      <sheetName val="1  ﾊﾟﾚｰﾄ図　年間集計"/>
      <sheetName val="2  特性要因図"/>
      <sheetName val="3  ﾋｽﾄｸﾞﾗﾑ"/>
      <sheetName val="6  ｘ－R管理図"/>
      <sheetName val="6  ｘ－R管理図 (n=25)"/>
      <sheetName val="7  散布図"/>
      <sheetName val="7  散布図 (n=50)"/>
      <sheetName val="7  散布図 (２系列n=30)"/>
      <sheetName val="7  散布図 (２系列n=30) (input画面改善)"/>
      <sheetName val="N3 系統図"/>
      <sheetName val="N4 ﾏﾄﾘｯｸｽ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页"/>
      <sheetName val="报价录入"/>
      <sheetName val="明细查询"/>
      <sheetName val="报价明细"/>
      <sheetName val="报价记录"/>
      <sheetName val="客户"/>
      <sheetName val="产品"/>
      <sheetName val="参数表"/>
      <sheetName val="公司信息"/>
      <sheetName val="cn"/>
      <sheetName val="en"/>
      <sheetName val="D1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DDB3-0AE6-4721-8FEB-021DE4C99766}">
  <sheetPr codeName="Sheet3"/>
  <dimension ref="A1:U1292"/>
  <sheetViews>
    <sheetView showGridLines="0" tabSelected="1" zoomScale="85" zoomScaleNormal="85" workbookViewId="0">
      <pane xSplit="3" ySplit="1" topLeftCell="D17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defaultColWidth="9" defaultRowHeight="16.5" x14ac:dyDescent="0.4"/>
  <cols>
    <col min="1" max="1" width="9" style="7"/>
    <col min="2" max="2" width="8.59765625" style="2" customWidth="1"/>
    <col min="3" max="3" width="22.46484375" style="1" customWidth="1"/>
    <col min="4" max="4" width="8.59765625" style="3" customWidth="1"/>
    <col min="5" max="5" width="8.59765625" style="1" customWidth="1"/>
    <col min="6" max="6" width="21.86328125" style="3" customWidth="1"/>
    <col min="7" max="7" width="11.73046875" style="3" customWidth="1"/>
    <col min="8" max="8" width="8.59765625" style="3" customWidth="1"/>
    <col min="9" max="9" width="18.06640625" style="3" customWidth="1"/>
    <col min="10" max="10" width="13" style="1" customWidth="1"/>
    <col min="11" max="14" width="8.59765625" style="4" customWidth="1"/>
    <col min="15" max="18" width="8.59765625" style="5" customWidth="1"/>
    <col min="19" max="19" width="27.3984375" style="3" customWidth="1"/>
    <col min="20" max="20" width="4.59765625" style="7" customWidth="1"/>
    <col min="21" max="16384" width="9" style="7"/>
  </cols>
  <sheetData>
    <row r="1" spans="1:21" s="51" customFormat="1" ht="21.3" customHeight="1" x14ac:dyDescent="0.4">
      <c r="A1" s="51" t="s">
        <v>1102</v>
      </c>
      <c r="B1" s="52" t="s">
        <v>1103</v>
      </c>
      <c r="C1" s="53" t="s">
        <v>1104</v>
      </c>
      <c r="D1" s="54" t="s">
        <v>1105</v>
      </c>
      <c r="E1" s="53" t="s">
        <v>1106</v>
      </c>
      <c r="F1" s="54" t="s">
        <v>1107</v>
      </c>
      <c r="G1" s="54" t="s">
        <v>1108</v>
      </c>
      <c r="H1" s="54" t="s">
        <v>1109</v>
      </c>
      <c r="I1" s="54" t="s">
        <v>1110</v>
      </c>
      <c r="J1" s="53" t="s">
        <v>1111</v>
      </c>
      <c r="K1" s="55" t="s">
        <v>1112</v>
      </c>
      <c r="L1" s="63" t="s">
        <v>1148</v>
      </c>
      <c r="M1" s="55" t="s">
        <v>1149</v>
      </c>
      <c r="N1" s="55" t="s">
        <v>1113</v>
      </c>
      <c r="O1" s="55" t="s">
        <v>1114</v>
      </c>
      <c r="P1" s="53" t="s">
        <v>1115</v>
      </c>
      <c r="Q1" s="56" t="s">
        <v>1116</v>
      </c>
      <c r="R1" s="56" t="s">
        <v>1117</v>
      </c>
      <c r="S1" s="57" t="s">
        <v>1118</v>
      </c>
    </row>
    <row r="2" spans="1:21" ht="16.899999999999999" x14ac:dyDescent="0.4">
      <c r="A2" s="62" t="s">
        <v>1147</v>
      </c>
      <c r="B2" s="2">
        <v>43634</v>
      </c>
      <c r="C2" s="1" t="s">
        <v>0</v>
      </c>
      <c r="D2" s="3" t="s">
        <v>1</v>
      </c>
      <c r="E2" s="2">
        <v>44002</v>
      </c>
      <c r="F2" s="3" t="s">
        <v>471</v>
      </c>
      <c r="G2" s="3" t="s">
        <v>1125</v>
      </c>
      <c r="H2" s="32" t="s">
        <v>1124</v>
      </c>
      <c r="I2" s="3" t="s">
        <v>2</v>
      </c>
      <c r="J2" s="1" t="s">
        <v>4</v>
      </c>
      <c r="K2" s="4" t="s">
        <v>3</v>
      </c>
      <c r="L2" s="58" t="s">
        <v>1161</v>
      </c>
      <c r="M2" s="4" t="s">
        <v>1158</v>
      </c>
      <c r="N2" s="58" t="s">
        <v>1123</v>
      </c>
      <c r="O2" s="5">
        <v>17.399999999999999</v>
      </c>
      <c r="P2" s="5">
        <v>3500</v>
      </c>
      <c r="Q2" s="5">
        <v>60899.999999999993</v>
      </c>
      <c r="R2" s="5" t="s">
        <v>1145</v>
      </c>
      <c r="S2" s="3" t="s">
        <v>5</v>
      </c>
      <c r="T2" s="8"/>
    </row>
    <row r="3" spans="1:21" ht="16.899999999999999" x14ac:dyDescent="0.4">
      <c r="A3" s="62" t="s">
        <v>1147</v>
      </c>
      <c r="B3" s="2">
        <v>43703</v>
      </c>
      <c r="C3" s="1" t="s">
        <v>6</v>
      </c>
      <c r="D3" s="3" t="s">
        <v>7</v>
      </c>
      <c r="E3" s="2">
        <v>43885</v>
      </c>
      <c r="F3" s="3" t="s">
        <v>471</v>
      </c>
      <c r="G3" s="3" t="s">
        <v>1121</v>
      </c>
      <c r="H3" s="32" t="s">
        <v>1124</v>
      </c>
      <c r="I3" s="3" t="s">
        <v>2</v>
      </c>
      <c r="J3" s="1" t="s">
        <v>9</v>
      </c>
      <c r="K3" s="4" t="s">
        <v>8</v>
      </c>
      <c r="L3" s="58" t="s">
        <v>1161</v>
      </c>
      <c r="M3" s="4" t="s">
        <v>1155</v>
      </c>
      <c r="N3" s="58" t="s">
        <v>1123</v>
      </c>
      <c r="O3" s="5">
        <v>16.2</v>
      </c>
      <c r="P3" s="5">
        <v>7680</v>
      </c>
      <c r="Q3" s="5">
        <v>124416</v>
      </c>
      <c r="R3" s="5" t="s">
        <v>1122</v>
      </c>
      <c r="S3" s="3" t="s">
        <v>10</v>
      </c>
      <c r="T3" s="3"/>
    </row>
    <row r="4" spans="1:21" ht="16.899999999999999" x14ac:dyDescent="0.4">
      <c r="A4" s="62" t="s">
        <v>1147</v>
      </c>
      <c r="B4" s="2">
        <v>43703</v>
      </c>
      <c r="C4" s="1" t="s">
        <v>6</v>
      </c>
      <c r="D4" s="3" t="s">
        <v>7</v>
      </c>
      <c r="E4" s="2">
        <v>43909</v>
      </c>
      <c r="F4" s="3" t="s">
        <v>471</v>
      </c>
      <c r="G4" s="3" t="s">
        <v>1121</v>
      </c>
      <c r="H4" s="32" t="s">
        <v>1124</v>
      </c>
      <c r="I4" s="3" t="s">
        <v>2</v>
      </c>
      <c r="J4" s="1" t="s">
        <v>9</v>
      </c>
      <c r="K4" s="4" t="s">
        <v>8</v>
      </c>
      <c r="L4" s="58" t="s">
        <v>1161</v>
      </c>
      <c r="M4" s="4" t="s">
        <v>1155</v>
      </c>
      <c r="N4" s="58" t="s">
        <v>1123</v>
      </c>
      <c r="O4" s="5">
        <v>16.2</v>
      </c>
      <c r="P4" s="5">
        <v>2720</v>
      </c>
      <c r="Q4" s="5">
        <v>44064</v>
      </c>
      <c r="R4" s="5" t="s">
        <v>1122</v>
      </c>
      <c r="S4" s="3" t="s">
        <v>11</v>
      </c>
      <c r="T4" s="3"/>
    </row>
    <row r="5" spans="1:21" ht="16.899999999999999" x14ac:dyDescent="0.4">
      <c r="A5" s="62" t="s">
        <v>1147</v>
      </c>
      <c r="B5" s="2">
        <v>43705</v>
      </c>
      <c r="C5" s="1" t="s">
        <v>6</v>
      </c>
      <c r="D5" s="3" t="s">
        <v>12</v>
      </c>
      <c r="E5" s="2">
        <v>43861</v>
      </c>
      <c r="F5" s="3" t="s">
        <v>471</v>
      </c>
      <c r="G5" s="3" t="s">
        <v>1121</v>
      </c>
      <c r="H5" s="32" t="s">
        <v>1124</v>
      </c>
      <c r="I5" s="3" t="s">
        <v>13</v>
      </c>
      <c r="K5" s="4" t="s">
        <v>14</v>
      </c>
      <c r="L5" s="58" t="s">
        <v>1160</v>
      </c>
      <c r="M5" s="58" t="s">
        <v>1150</v>
      </c>
      <c r="N5" s="58" t="s">
        <v>1123</v>
      </c>
      <c r="O5" s="5">
        <v>1</v>
      </c>
      <c r="P5" s="5">
        <v>18676.89</v>
      </c>
      <c r="Q5" s="5">
        <v>18676.89</v>
      </c>
      <c r="R5" s="5" t="s">
        <v>1122</v>
      </c>
      <c r="T5" s="3"/>
    </row>
    <row r="6" spans="1:21" ht="16.899999999999999" x14ac:dyDescent="0.4">
      <c r="A6" s="62" t="s">
        <v>1147</v>
      </c>
      <c r="B6" s="2">
        <v>43705</v>
      </c>
      <c r="C6" s="1" t="s">
        <v>6</v>
      </c>
      <c r="D6" s="3" t="s">
        <v>15</v>
      </c>
      <c r="E6" s="2">
        <v>43861</v>
      </c>
      <c r="F6" s="3" t="s">
        <v>471</v>
      </c>
      <c r="G6" s="3" t="s">
        <v>1121</v>
      </c>
      <c r="H6" s="32" t="s">
        <v>1124</v>
      </c>
      <c r="I6" s="3" t="s">
        <v>13</v>
      </c>
      <c r="K6" s="4" t="s">
        <v>16</v>
      </c>
      <c r="L6" s="58" t="s">
        <v>1160</v>
      </c>
      <c r="M6" s="58" t="s">
        <v>1150</v>
      </c>
      <c r="N6" s="58" t="s">
        <v>1123</v>
      </c>
      <c r="O6" s="5">
        <v>1</v>
      </c>
      <c r="P6" s="5">
        <v>34257.910000000003</v>
      </c>
      <c r="Q6" s="5">
        <v>34257.910000000003</v>
      </c>
      <c r="R6" s="5" t="s">
        <v>1122</v>
      </c>
      <c r="T6" s="3"/>
    </row>
    <row r="7" spans="1:21" ht="16.899999999999999" x14ac:dyDescent="0.4">
      <c r="A7" s="62" t="s">
        <v>1147</v>
      </c>
      <c r="B7" s="2">
        <v>43705</v>
      </c>
      <c r="C7" s="1" t="s">
        <v>6</v>
      </c>
      <c r="D7" s="3" t="s">
        <v>17</v>
      </c>
      <c r="E7" s="2">
        <v>43861</v>
      </c>
      <c r="F7" s="3" t="s">
        <v>471</v>
      </c>
      <c r="G7" s="3" t="s">
        <v>1121</v>
      </c>
      <c r="H7" s="32" t="s">
        <v>1124</v>
      </c>
      <c r="I7" s="3" t="s">
        <v>18</v>
      </c>
      <c r="K7" s="4" t="s">
        <v>19</v>
      </c>
      <c r="L7" s="58" t="s">
        <v>1160</v>
      </c>
      <c r="M7" s="58" t="s">
        <v>1150</v>
      </c>
      <c r="N7" s="58" t="s">
        <v>1123</v>
      </c>
      <c r="O7" s="5">
        <v>1</v>
      </c>
      <c r="P7" s="5">
        <v>2385</v>
      </c>
      <c r="Q7" s="5">
        <v>2385</v>
      </c>
      <c r="R7" s="5" t="s">
        <v>1122</v>
      </c>
      <c r="S7" s="3" t="s">
        <v>20</v>
      </c>
      <c r="T7" s="3"/>
    </row>
    <row r="8" spans="1:21" ht="16.899999999999999" x14ac:dyDescent="0.4">
      <c r="A8" s="62" t="s">
        <v>1147</v>
      </c>
      <c r="B8" s="2">
        <v>43705</v>
      </c>
      <c r="C8" s="1" t="s">
        <v>6</v>
      </c>
      <c r="D8" s="3" t="s">
        <v>21</v>
      </c>
      <c r="E8" s="2">
        <v>43909</v>
      </c>
      <c r="F8" s="3" t="s">
        <v>471</v>
      </c>
      <c r="G8" s="3" t="s">
        <v>1121</v>
      </c>
      <c r="H8" s="32" t="s">
        <v>1124</v>
      </c>
      <c r="I8" s="3" t="s">
        <v>22</v>
      </c>
      <c r="L8" s="58" t="s">
        <v>1160</v>
      </c>
      <c r="M8" s="58" t="s">
        <v>1150</v>
      </c>
      <c r="N8" s="58" t="s">
        <v>1123</v>
      </c>
      <c r="O8" s="5">
        <v>21000</v>
      </c>
      <c r="P8" s="5">
        <v>1</v>
      </c>
      <c r="Q8" s="5">
        <v>21000</v>
      </c>
      <c r="R8" s="5" t="s">
        <v>1122</v>
      </c>
      <c r="S8" s="3" t="s">
        <v>23</v>
      </c>
      <c r="T8" s="3"/>
    </row>
    <row r="9" spans="1:21" ht="16.899999999999999" x14ac:dyDescent="0.4">
      <c r="A9" s="62" t="s">
        <v>1147</v>
      </c>
      <c r="B9" s="2">
        <v>43783</v>
      </c>
      <c r="C9" s="1" t="s">
        <v>6</v>
      </c>
      <c r="D9" s="3" t="s">
        <v>24</v>
      </c>
      <c r="E9" s="2">
        <v>43909</v>
      </c>
      <c r="F9" s="3" t="s">
        <v>471</v>
      </c>
      <c r="G9" s="3" t="s">
        <v>1125</v>
      </c>
      <c r="H9" s="32" t="s">
        <v>1124</v>
      </c>
      <c r="I9" s="3" t="s">
        <v>25</v>
      </c>
      <c r="J9" s="1" t="s">
        <v>27</v>
      </c>
      <c r="K9" s="4" t="s">
        <v>26</v>
      </c>
      <c r="L9" s="58" t="s">
        <v>1161</v>
      </c>
      <c r="M9" s="4" t="s">
        <v>1155</v>
      </c>
      <c r="N9" s="58" t="s">
        <v>1123</v>
      </c>
      <c r="O9" s="5">
        <v>12.3</v>
      </c>
      <c r="P9" s="5">
        <v>100</v>
      </c>
      <c r="Q9" s="5">
        <v>1230</v>
      </c>
      <c r="R9" s="5" t="s">
        <v>1122</v>
      </c>
      <c r="S9" s="3" t="s">
        <v>28</v>
      </c>
      <c r="T9" s="3"/>
    </row>
    <row r="10" spans="1:21" ht="16.899999999999999" x14ac:dyDescent="0.4">
      <c r="A10" s="62" t="s">
        <v>1147</v>
      </c>
      <c r="B10" s="2">
        <v>43844</v>
      </c>
      <c r="C10" s="1" t="s">
        <v>29</v>
      </c>
      <c r="D10" s="3" t="s">
        <v>30</v>
      </c>
      <c r="E10" s="2">
        <v>43921</v>
      </c>
      <c r="F10" s="3" t="s">
        <v>471</v>
      </c>
      <c r="G10" s="3" t="s">
        <v>438</v>
      </c>
      <c r="H10" s="32" t="s">
        <v>1124</v>
      </c>
      <c r="I10" s="3" t="s">
        <v>31</v>
      </c>
      <c r="J10" s="1" t="s">
        <v>33</v>
      </c>
      <c r="K10" s="4" t="s">
        <v>32</v>
      </c>
      <c r="L10" s="58" t="s">
        <v>1160</v>
      </c>
      <c r="M10" s="4" t="s">
        <v>1157</v>
      </c>
      <c r="N10" s="58" t="s">
        <v>1123</v>
      </c>
      <c r="O10" s="5">
        <v>23.5</v>
      </c>
      <c r="P10" s="5">
        <v>100</v>
      </c>
      <c r="Q10" s="5">
        <v>2350</v>
      </c>
      <c r="R10" s="5" t="s">
        <v>1122</v>
      </c>
      <c r="S10" s="3" t="s">
        <v>34</v>
      </c>
      <c r="T10" s="3"/>
    </row>
    <row r="11" spans="1:21" ht="16.899999999999999" x14ac:dyDescent="0.4">
      <c r="A11" s="62" t="s">
        <v>1147</v>
      </c>
      <c r="B11" s="2">
        <v>43844</v>
      </c>
      <c r="C11" s="1" t="s">
        <v>29</v>
      </c>
      <c r="D11" s="3" t="s">
        <v>35</v>
      </c>
      <c r="E11" s="2">
        <v>43921</v>
      </c>
      <c r="F11" s="3" t="s">
        <v>471</v>
      </c>
      <c r="G11" s="3" t="s">
        <v>438</v>
      </c>
      <c r="H11" s="32" t="s">
        <v>1124</v>
      </c>
      <c r="I11" s="3" t="s">
        <v>25</v>
      </c>
      <c r="J11" s="1" t="s">
        <v>37</v>
      </c>
      <c r="K11" s="4" t="s">
        <v>36</v>
      </c>
      <c r="L11" s="58" t="s">
        <v>1161</v>
      </c>
      <c r="M11" s="4" t="s">
        <v>1157</v>
      </c>
      <c r="N11" s="58" t="s">
        <v>1123</v>
      </c>
      <c r="O11" s="5">
        <v>11</v>
      </c>
      <c r="P11" s="5">
        <v>200</v>
      </c>
      <c r="Q11" s="5">
        <v>2200</v>
      </c>
      <c r="R11" s="5" t="s">
        <v>1122</v>
      </c>
      <c r="S11" s="3" t="s">
        <v>38</v>
      </c>
      <c r="T11" s="3"/>
    </row>
    <row r="12" spans="1:21" ht="16.899999999999999" x14ac:dyDescent="0.4">
      <c r="A12" s="62" t="s">
        <v>1147</v>
      </c>
      <c r="B12" s="2">
        <v>43852</v>
      </c>
      <c r="C12" s="1" t="s">
        <v>29</v>
      </c>
      <c r="D12" s="3" t="s">
        <v>39</v>
      </c>
      <c r="E12" s="2">
        <v>43921</v>
      </c>
      <c r="F12" s="3" t="s">
        <v>471</v>
      </c>
      <c r="G12" s="3" t="s">
        <v>438</v>
      </c>
      <c r="H12" s="32" t="s">
        <v>1124</v>
      </c>
      <c r="I12" s="3" t="s">
        <v>25</v>
      </c>
      <c r="J12" s="1" t="s">
        <v>41</v>
      </c>
      <c r="K12" s="4" t="s">
        <v>40</v>
      </c>
      <c r="L12" s="58" t="s">
        <v>1161</v>
      </c>
      <c r="M12" s="4" t="s">
        <v>1157</v>
      </c>
      <c r="N12" s="58" t="s">
        <v>1123</v>
      </c>
      <c r="O12" s="5">
        <v>12.3</v>
      </c>
      <c r="P12" s="5">
        <v>3000</v>
      </c>
      <c r="Q12" s="5">
        <v>36900</v>
      </c>
      <c r="R12" s="5" t="s">
        <v>1122</v>
      </c>
      <c r="S12" s="3" t="s">
        <v>42</v>
      </c>
      <c r="T12" s="3"/>
    </row>
    <row r="13" spans="1:21" ht="16.899999999999999" x14ac:dyDescent="0.4">
      <c r="A13" s="62" t="s">
        <v>1147</v>
      </c>
      <c r="B13" s="2">
        <v>43889</v>
      </c>
      <c r="C13" s="1" t="s">
        <v>48</v>
      </c>
      <c r="D13" s="3" t="s">
        <v>49</v>
      </c>
      <c r="E13" s="2">
        <v>44027</v>
      </c>
      <c r="F13" s="3" t="s">
        <v>649</v>
      </c>
      <c r="G13" s="3" t="s">
        <v>285</v>
      </c>
      <c r="H13" s="32" t="s">
        <v>1124</v>
      </c>
      <c r="I13" s="3" t="s">
        <v>2</v>
      </c>
      <c r="J13" s="1" t="s">
        <v>51</v>
      </c>
      <c r="K13" s="4" t="s">
        <v>50</v>
      </c>
      <c r="L13" s="58" t="s">
        <v>1161</v>
      </c>
      <c r="M13" s="4" t="s">
        <v>1152</v>
      </c>
      <c r="N13" s="58" t="s">
        <v>1123</v>
      </c>
      <c r="O13" s="5">
        <v>18.5</v>
      </c>
      <c r="P13" s="5">
        <v>200</v>
      </c>
      <c r="Q13" s="5">
        <v>3700</v>
      </c>
      <c r="R13" s="5" t="s">
        <v>1122</v>
      </c>
      <c r="S13" s="3" t="s">
        <v>52</v>
      </c>
      <c r="T13" s="3"/>
    </row>
    <row r="14" spans="1:21" ht="16.899999999999999" x14ac:dyDescent="0.4">
      <c r="A14" s="62" t="s">
        <v>1147</v>
      </c>
      <c r="B14" s="2">
        <v>43889</v>
      </c>
      <c r="C14" s="1" t="s">
        <v>48</v>
      </c>
      <c r="D14" s="3" t="s">
        <v>49</v>
      </c>
      <c r="E14" s="2">
        <v>44027</v>
      </c>
      <c r="F14" s="3" t="s">
        <v>649</v>
      </c>
      <c r="G14" s="3" t="s">
        <v>285</v>
      </c>
      <c r="H14" s="32" t="s">
        <v>1124</v>
      </c>
      <c r="I14" s="3" t="s">
        <v>2</v>
      </c>
      <c r="J14" s="1" t="s">
        <v>46</v>
      </c>
      <c r="K14" s="4" t="s">
        <v>53</v>
      </c>
      <c r="L14" s="58" t="s">
        <v>1161</v>
      </c>
      <c r="M14" s="4" t="s">
        <v>1152</v>
      </c>
      <c r="N14" s="58" t="s">
        <v>1123</v>
      </c>
      <c r="O14" s="5">
        <v>18.5</v>
      </c>
      <c r="P14" s="5">
        <v>100</v>
      </c>
      <c r="Q14" s="5">
        <v>1850</v>
      </c>
      <c r="R14" s="5" t="s">
        <v>1122</v>
      </c>
      <c r="S14" s="3" t="s">
        <v>54</v>
      </c>
      <c r="T14" s="3"/>
      <c r="U14" s="1"/>
    </row>
    <row r="15" spans="1:21" ht="16.899999999999999" x14ac:dyDescent="0.4">
      <c r="A15" s="62" t="s">
        <v>1147</v>
      </c>
      <c r="B15" s="2">
        <v>43889</v>
      </c>
      <c r="C15" s="1" t="s">
        <v>6</v>
      </c>
      <c r="D15" s="3" t="s">
        <v>43</v>
      </c>
      <c r="E15" s="2">
        <v>44152</v>
      </c>
      <c r="F15" s="3" t="s">
        <v>471</v>
      </c>
      <c r="G15" s="3" t="s">
        <v>1121</v>
      </c>
      <c r="H15" s="32" t="s">
        <v>1124</v>
      </c>
      <c r="I15" s="3" t="s">
        <v>44</v>
      </c>
      <c r="J15" s="1" t="s">
        <v>46</v>
      </c>
      <c r="K15" s="4" t="s">
        <v>45</v>
      </c>
      <c r="L15" s="58" t="s">
        <v>1161</v>
      </c>
      <c r="M15" s="4" t="s">
        <v>1155</v>
      </c>
      <c r="N15" s="58" t="s">
        <v>1123</v>
      </c>
      <c r="O15" s="5">
        <v>16.2</v>
      </c>
      <c r="P15" s="5">
        <v>3200</v>
      </c>
      <c r="Q15" s="5">
        <v>51840</v>
      </c>
      <c r="R15" s="5" t="s">
        <v>1122</v>
      </c>
      <c r="S15" s="3" t="s">
        <v>47</v>
      </c>
      <c r="T15" s="3"/>
      <c r="U15" s="1"/>
    </row>
    <row r="16" spans="1:21" ht="16.899999999999999" x14ac:dyDescent="0.4">
      <c r="A16" s="62" t="s">
        <v>1147</v>
      </c>
      <c r="B16" s="2">
        <v>43895</v>
      </c>
      <c r="C16" s="1" t="s">
        <v>55</v>
      </c>
      <c r="D16" s="3" t="s">
        <v>56</v>
      </c>
      <c r="E16" s="2">
        <v>43928</v>
      </c>
      <c r="F16" s="3" t="s">
        <v>471</v>
      </c>
      <c r="G16" s="3" t="s">
        <v>356</v>
      </c>
      <c r="H16" s="32" t="s">
        <v>1124</v>
      </c>
      <c r="I16" s="3" t="s">
        <v>57</v>
      </c>
      <c r="J16" s="1" t="s">
        <v>59</v>
      </c>
      <c r="K16" s="4" t="s">
        <v>58</v>
      </c>
      <c r="L16" s="58" t="s">
        <v>1161</v>
      </c>
      <c r="M16" s="4" t="s">
        <v>1159</v>
      </c>
      <c r="N16" s="58" t="s">
        <v>1123</v>
      </c>
      <c r="O16" s="5">
        <v>10.7</v>
      </c>
      <c r="P16" s="5">
        <v>300</v>
      </c>
      <c r="Q16" s="5">
        <v>3210</v>
      </c>
      <c r="R16" s="5" t="s">
        <v>1145</v>
      </c>
      <c r="S16" s="3" t="s">
        <v>60</v>
      </c>
      <c r="T16" s="3"/>
      <c r="U16" s="1"/>
    </row>
    <row r="17" spans="1:21" ht="16.899999999999999" x14ac:dyDescent="0.4">
      <c r="A17" s="62" t="s">
        <v>1147</v>
      </c>
      <c r="B17" s="2">
        <v>43899</v>
      </c>
      <c r="C17" s="1" t="s">
        <v>29</v>
      </c>
      <c r="D17" s="3" t="s">
        <v>61</v>
      </c>
      <c r="E17" s="2">
        <v>44038</v>
      </c>
      <c r="F17" s="3" t="s">
        <v>471</v>
      </c>
      <c r="G17" s="3" t="s">
        <v>285</v>
      </c>
      <c r="H17" s="32" t="s">
        <v>1124</v>
      </c>
      <c r="I17" s="3" t="s">
        <v>62</v>
      </c>
      <c r="J17" s="1" t="s">
        <v>64</v>
      </c>
      <c r="K17" s="4" t="s">
        <v>63</v>
      </c>
      <c r="L17" s="58" t="s">
        <v>1161</v>
      </c>
      <c r="M17" s="4" t="s">
        <v>1157</v>
      </c>
      <c r="N17" s="58" t="s">
        <v>1123</v>
      </c>
      <c r="O17" s="5">
        <v>16</v>
      </c>
      <c r="P17" s="5">
        <v>3700</v>
      </c>
      <c r="Q17" s="5">
        <v>59200</v>
      </c>
      <c r="R17" s="5" t="s">
        <v>1122</v>
      </c>
      <c r="S17" s="3" t="s">
        <v>65</v>
      </c>
      <c r="T17" s="3"/>
      <c r="U17" s="1"/>
    </row>
    <row r="18" spans="1:21" ht="16.899999999999999" x14ac:dyDescent="0.4">
      <c r="A18" s="62" t="s">
        <v>1147</v>
      </c>
      <c r="B18" s="2">
        <v>43901</v>
      </c>
      <c r="C18" s="1" t="s">
        <v>29</v>
      </c>
      <c r="D18" s="3" t="s">
        <v>66</v>
      </c>
      <c r="E18" s="2">
        <v>43921</v>
      </c>
      <c r="F18" s="3" t="s">
        <v>471</v>
      </c>
      <c r="G18" s="3" t="s">
        <v>438</v>
      </c>
      <c r="H18" s="32" t="s">
        <v>1124</v>
      </c>
      <c r="I18" s="3" t="s">
        <v>25</v>
      </c>
      <c r="J18" s="1" t="s">
        <v>41</v>
      </c>
      <c r="K18" s="4" t="s">
        <v>40</v>
      </c>
      <c r="L18" s="58" t="s">
        <v>1161</v>
      </c>
      <c r="M18" s="4" t="s">
        <v>1157</v>
      </c>
      <c r="N18" s="58" t="s">
        <v>1123</v>
      </c>
      <c r="O18" s="5">
        <v>12.3</v>
      </c>
      <c r="P18" s="5">
        <v>200</v>
      </c>
      <c r="Q18" s="5">
        <v>2460</v>
      </c>
      <c r="R18" s="5" t="s">
        <v>1122</v>
      </c>
      <c r="S18" s="3" t="s">
        <v>67</v>
      </c>
      <c r="T18" s="3"/>
      <c r="U18" s="1"/>
    </row>
    <row r="19" spans="1:21" ht="16.899999999999999" x14ac:dyDescent="0.4">
      <c r="A19" s="62" t="s">
        <v>1147</v>
      </c>
      <c r="B19" s="2">
        <v>43902</v>
      </c>
      <c r="C19" s="1" t="s">
        <v>29</v>
      </c>
      <c r="D19" s="3" t="s">
        <v>68</v>
      </c>
      <c r="E19" s="2">
        <v>43921</v>
      </c>
      <c r="F19" s="3" t="s">
        <v>471</v>
      </c>
      <c r="G19" s="3" t="s">
        <v>285</v>
      </c>
      <c r="H19" s="32" t="s">
        <v>1124</v>
      </c>
      <c r="I19" s="3" t="s">
        <v>25</v>
      </c>
      <c r="J19" s="1" t="s">
        <v>70</v>
      </c>
      <c r="K19" s="4" t="s">
        <v>69</v>
      </c>
      <c r="L19" s="58" t="s">
        <v>1161</v>
      </c>
      <c r="M19" s="4" t="s">
        <v>1157</v>
      </c>
      <c r="N19" s="58" t="s">
        <v>1123</v>
      </c>
      <c r="O19" s="5">
        <v>10.9</v>
      </c>
      <c r="P19" s="5">
        <v>1000</v>
      </c>
      <c r="Q19" s="5">
        <v>10900</v>
      </c>
      <c r="R19" s="5" t="s">
        <v>1122</v>
      </c>
      <c r="S19" s="3" t="s">
        <v>71</v>
      </c>
      <c r="T19" s="3"/>
      <c r="U19" s="1"/>
    </row>
    <row r="20" spans="1:21" ht="16.899999999999999" x14ac:dyDescent="0.4">
      <c r="A20" s="62" t="s">
        <v>1147</v>
      </c>
      <c r="B20" s="2">
        <v>43902</v>
      </c>
      <c r="C20" s="1" t="s">
        <v>29</v>
      </c>
      <c r="D20" s="3" t="s">
        <v>72</v>
      </c>
      <c r="E20" s="2">
        <v>44064</v>
      </c>
      <c r="F20" s="3" t="s">
        <v>471</v>
      </c>
      <c r="G20" s="3" t="s">
        <v>285</v>
      </c>
      <c r="H20" s="32" t="s">
        <v>1124</v>
      </c>
      <c r="I20" s="3" t="s">
        <v>25</v>
      </c>
      <c r="J20" s="1" t="s">
        <v>70</v>
      </c>
      <c r="K20" s="4" t="s">
        <v>69</v>
      </c>
      <c r="L20" s="58" t="s">
        <v>1161</v>
      </c>
      <c r="M20" s="4" t="s">
        <v>1157</v>
      </c>
      <c r="N20" s="58" t="s">
        <v>1123</v>
      </c>
      <c r="O20" s="5">
        <v>10.9</v>
      </c>
      <c r="P20" s="5">
        <v>4000</v>
      </c>
      <c r="Q20" s="5">
        <v>43600</v>
      </c>
      <c r="R20" s="5" t="s">
        <v>1122</v>
      </c>
      <c r="S20" s="3" t="s">
        <v>73</v>
      </c>
      <c r="T20" s="3"/>
      <c r="U20" s="1"/>
    </row>
    <row r="21" spans="1:21" ht="16.899999999999999" x14ac:dyDescent="0.4">
      <c r="A21" s="62" t="s">
        <v>1147</v>
      </c>
      <c r="B21" s="2">
        <v>43902</v>
      </c>
      <c r="C21" s="1" t="s">
        <v>29</v>
      </c>
      <c r="D21" s="3" t="s">
        <v>74</v>
      </c>
      <c r="E21" s="2">
        <v>43991</v>
      </c>
      <c r="F21" s="3" t="s">
        <v>471</v>
      </c>
      <c r="G21" s="3" t="s">
        <v>285</v>
      </c>
      <c r="H21" s="32" t="s">
        <v>1124</v>
      </c>
      <c r="I21" s="3" t="s">
        <v>25</v>
      </c>
      <c r="J21" s="1" t="s">
        <v>70</v>
      </c>
      <c r="K21" s="4" t="s">
        <v>69</v>
      </c>
      <c r="L21" s="58" t="s">
        <v>1161</v>
      </c>
      <c r="M21" s="4" t="s">
        <v>1157</v>
      </c>
      <c r="N21" s="58" t="s">
        <v>1123</v>
      </c>
      <c r="O21" s="5">
        <v>10.9</v>
      </c>
      <c r="P21" s="5">
        <v>3890</v>
      </c>
      <c r="Q21" s="5">
        <v>42401</v>
      </c>
      <c r="R21" s="5" t="s">
        <v>1122</v>
      </c>
      <c r="S21" s="3" t="s">
        <v>75</v>
      </c>
      <c r="T21" s="3"/>
      <c r="U21" s="1"/>
    </row>
    <row r="22" spans="1:21" ht="16.899999999999999" x14ac:dyDescent="0.4">
      <c r="A22" s="62" t="s">
        <v>1147</v>
      </c>
      <c r="B22" s="2">
        <v>43902</v>
      </c>
      <c r="C22" s="1" t="s">
        <v>29</v>
      </c>
      <c r="D22" s="3" t="s">
        <v>76</v>
      </c>
      <c r="E22" s="2">
        <v>43921</v>
      </c>
      <c r="F22" s="3" t="s">
        <v>471</v>
      </c>
      <c r="G22" s="3" t="s">
        <v>285</v>
      </c>
      <c r="H22" s="32" t="s">
        <v>1124</v>
      </c>
      <c r="I22" s="3" t="s">
        <v>31</v>
      </c>
      <c r="J22" s="1" t="s">
        <v>78</v>
      </c>
      <c r="K22" s="4" t="s">
        <v>77</v>
      </c>
      <c r="L22" s="58" t="s">
        <v>1160</v>
      </c>
      <c r="M22" s="4" t="s">
        <v>1157</v>
      </c>
      <c r="N22" s="58" t="s">
        <v>1123</v>
      </c>
      <c r="O22" s="5">
        <v>10.9</v>
      </c>
      <c r="P22" s="5">
        <v>200</v>
      </c>
      <c r="Q22" s="5">
        <v>2180</v>
      </c>
      <c r="R22" s="5" t="s">
        <v>1122</v>
      </c>
      <c r="S22" s="3" t="s">
        <v>79</v>
      </c>
      <c r="T22" s="3"/>
      <c r="U22" s="1"/>
    </row>
    <row r="23" spans="1:21" ht="16.899999999999999" x14ac:dyDescent="0.4">
      <c r="A23" s="62" t="s">
        <v>1147</v>
      </c>
      <c r="B23" s="2">
        <v>43930</v>
      </c>
      <c r="C23" s="1" t="s">
        <v>29</v>
      </c>
      <c r="D23" s="3" t="s">
        <v>80</v>
      </c>
      <c r="E23" s="2">
        <v>43991</v>
      </c>
      <c r="F23" s="3" t="s">
        <v>471</v>
      </c>
      <c r="G23" s="3" t="s">
        <v>285</v>
      </c>
      <c r="H23" s="32" t="s">
        <v>1124</v>
      </c>
      <c r="I23" s="3" t="s">
        <v>25</v>
      </c>
      <c r="J23" s="1" t="s">
        <v>83</v>
      </c>
      <c r="K23" s="4" t="s">
        <v>82</v>
      </c>
      <c r="L23" s="58" t="s">
        <v>1161</v>
      </c>
      <c r="M23" s="4" t="s">
        <v>1157</v>
      </c>
      <c r="N23" s="58" t="s">
        <v>1123</v>
      </c>
      <c r="O23" s="5">
        <v>10.9</v>
      </c>
      <c r="P23" s="5">
        <v>500</v>
      </c>
      <c r="Q23" s="5">
        <v>5450</v>
      </c>
      <c r="R23" s="5" t="s">
        <v>1122</v>
      </c>
      <c r="S23" s="3" t="s">
        <v>84</v>
      </c>
      <c r="T23" s="3"/>
      <c r="U23" s="1"/>
    </row>
    <row r="24" spans="1:21" ht="16.899999999999999" x14ac:dyDescent="0.4">
      <c r="A24" s="62" t="s">
        <v>1147</v>
      </c>
      <c r="B24" s="2">
        <v>43969</v>
      </c>
      <c r="C24" s="1" t="s">
        <v>48</v>
      </c>
      <c r="D24" s="3" t="s">
        <v>88</v>
      </c>
      <c r="E24" s="2">
        <v>44027</v>
      </c>
      <c r="F24" s="3" t="s">
        <v>649</v>
      </c>
      <c r="G24" s="3" t="s">
        <v>285</v>
      </c>
      <c r="H24" s="32" t="s">
        <v>1124</v>
      </c>
      <c r="I24" s="3" t="s">
        <v>89</v>
      </c>
      <c r="J24" s="1" t="s">
        <v>83</v>
      </c>
      <c r="K24" s="4" t="s">
        <v>90</v>
      </c>
      <c r="L24" s="58" t="s">
        <v>1161</v>
      </c>
      <c r="M24" s="4" t="s">
        <v>1152</v>
      </c>
      <c r="N24" s="58" t="s">
        <v>1123</v>
      </c>
      <c r="O24" s="5">
        <v>11.2</v>
      </c>
      <c r="P24" s="5">
        <v>400</v>
      </c>
      <c r="Q24" s="5">
        <v>4480</v>
      </c>
      <c r="R24" s="5" t="s">
        <v>1122</v>
      </c>
      <c r="S24" s="3" t="s">
        <v>91</v>
      </c>
      <c r="T24" s="3"/>
      <c r="U24" s="1"/>
    </row>
    <row r="25" spans="1:21" ht="16.899999999999999" x14ac:dyDescent="0.4">
      <c r="A25" s="62" t="s">
        <v>1147</v>
      </c>
      <c r="B25" s="2">
        <v>43969</v>
      </c>
      <c r="C25" s="1" t="s">
        <v>48</v>
      </c>
      <c r="D25" s="3" t="s">
        <v>88</v>
      </c>
      <c r="E25" s="2">
        <v>44027</v>
      </c>
      <c r="F25" s="60" t="s">
        <v>649</v>
      </c>
      <c r="G25" s="3" t="s">
        <v>285</v>
      </c>
      <c r="H25" s="32" t="s">
        <v>1124</v>
      </c>
      <c r="I25" s="3" t="s">
        <v>89</v>
      </c>
      <c r="J25" s="1" t="s">
        <v>70</v>
      </c>
      <c r="K25" s="4" t="s">
        <v>92</v>
      </c>
      <c r="L25" s="58" t="s">
        <v>1161</v>
      </c>
      <c r="M25" s="4" t="s">
        <v>1152</v>
      </c>
      <c r="N25" s="58" t="s">
        <v>1123</v>
      </c>
      <c r="O25" s="5">
        <v>11.2</v>
      </c>
      <c r="P25" s="5">
        <v>600</v>
      </c>
      <c r="Q25" s="5">
        <v>6720</v>
      </c>
      <c r="R25" s="5" t="s">
        <v>1122</v>
      </c>
      <c r="S25" s="3" t="s">
        <v>93</v>
      </c>
      <c r="T25" s="3"/>
      <c r="U25" s="1"/>
    </row>
    <row r="26" spans="1:21" ht="16.899999999999999" x14ac:dyDescent="0.4">
      <c r="A26" s="62" t="s">
        <v>1147</v>
      </c>
      <c r="B26" s="2">
        <v>43969</v>
      </c>
      <c r="C26" s="1" t="s">
        <v>55</v>
      </c>
      <c r="D26" s="3" t="s">
        <v>85</v>
      </c>
      <c r="E26" s="2">
        <v>43993</v>
      </c>
      <c r="F26" s="3" t="s">
        <v>471</v>
      </c>
      <c r="G26" s="3" t="s">
        <v>356</v>
      </c>
      <c r="H26" s="32" t="s">
        <v>1124</v>
      </c>
      <c r="I26" s="3" t="s">
        <v>86</v>
      </c>
      <c r="J26" s="1" t="s">
        <v>87</v>
      </c>
      <c r="L26" s="58" t="s">
        <v>1160</v>
      </c>
      <c r="M26" s="58" t="s">
        <v>1150</v>
      </c>
      <c r="N26" s="58" t="s">
        <v>1123</v>
      </c>
      <c r="O26" s="5">
        <v>0.8</v>
      </c>
      <c r="P26" s="5">
        <v>10000</v>
      </c>
      <c r="Q26" s="5">
        <v>8190</v>
      </c>
      <c r="R26" s="5" t="s">
        <v>1145</v>
      </c>
      <c r="T26" s="3"/>
      <c r="U26" s="1"/>
    </row>
    <row r="27" spans="1:21" ht="16.899999999999999" x14ac:dyDescent="0.4">
      <c r="A27" s="62" t="s">
        <v>1147</v>
      </c>
      <c r="B27" s="2">
        <v>43972</v>
      </c>
      <c r="C27" s="1" t="s">
        <v>55</v>
      </c>
      <c r="D27" s="3" t="s">
        <v>94</v>
      </c>
      <c r="E27" s="2">
        <v>43976</v>
      </c>
      <c r="F27" s="3" t="s">
        <v>471</v>
      </c>
      <c r="G27" s="3" t="s">
        <v>356</v>
      </c>
      <c r="H27" s="32" t="s">
        <v>1124</v>
      </c>
      <c r="I27" s="3" t="s">
        <v>95</v>
      </c>
      <c r="J27" s="1" t="s">
        <v>96</v>
      </c>
      <c r="L27" s="58" t="s">
        <v>1160</v>
      </c>
      <c r="M27" s="58" t="s">
        <v>1150</v>
      </c>
      <c r="N27" s="58" t="s">
        <v>1123</v>
      </c>
      <c r="O27" s="5">
        <v>3.464</v>
      </c>
      <c r="P27" s="5">
        <v>1000</v>
      </c>
      <c r="Q27" s="5">
        <v>3464</v>
      </c>
      <c r="R27" s="5" t="s">
        <v>1145</v>
      </c>
      <c r="S27" s="3" t="s">
        <v>97</v>
      </c>
      <c r="T27" s="3"/>
      <c r="U27" s="1"/>
    </row>
    <row r="28" spans="1:21" ht="16.899999999999999" x14ac:dyDescent="0.4">
      <c r="A28" s="62" t="s">
        <v>1147</v>
      </c>
      <c r="B28" s="2">
        <v>43981</v>
      </c>
      <c r="C28" s="1" t="s">
        <v>98</v>
      </c>
      <c r="D28" s="3" t="s">
        <v>99</v>
      </c>
      <c r="E28" s="2">
        <v>44059</v>
      </c>
      <c r="F28" s="3" t="s">
        <v>471</v>
      </c>
      <c r="G28" s="3" t="s">
        <v>1126</v>
      </c>
      <c r="H28" s="32" t="s">
        <v>1124</v>
      </c>
      <c r="I28" s="3" t="s">
        <v>25</v>
      </c>
      <c r="J28" s="1" t="s">
        <v>101</v>
      </c>
      <c r="K28" s="4" t="s">
        <v>100</v>
      </c>
      <c r="L28" s="58" t="s">
        <v>1161</v>
      </c>
      <c r="M28" s="4" t="s">
        <v>1152</v>
      </c>
      <c r="N28" s="58" t="s">
        <v>1123</v>
      </c>
      <c r="O28" s="5">
        <v>13.5</v>
      </c>
      <c r="P28" s="5">
        <v>600</v>
      </c>
      <c r="Q28" s="5">
        <v>8500</v>
      </c>
      <c r="R28" s="5" t="s">
        <v>1122</v>
      </c>
      <c r="S28" s="3" t="s">
        <v>102</v>
      </c>
      <c r="T28" s="3"/>
      <c r="U28" s="1"/>
    </row>
    <row r="29" spans="1:21" ht="16.899999999999999" x14ac:dyDescent="0.4">
      <c r="A29" s="62" t="s">
        <v>1147</v>
      </c>
      <c r="B29" s="2">
        <v>43985</v>
      </c>
      <c r="C29" s="1" t="s">
        <v>29</v>
      </c>
      <c r="D29" s="3" t="s">
        <v>103</v>
      </c>
      <c r="E29" s="2">
        <v>43991</v>
      </c>
      <c r="F29" s="3" t="s">
        <v>471</v>
      </c>
      <c r="G29" s="3" t="s">
        <v>285</v>
      </c>
      <c r="H29" s="32" t="s">
        <v>1124</v>
      </c>
      <c r="I29" s="3" t="s">
        <v>25</v>
      </c>
      <c r="J29" s="1" t="s">
        <v>70</v>
      </c>
      <c r="K29" s="4" t="s">
        <v>69</v>
      </c>
      <c r="L29" s="58" t="s">
        <v>1161</v>
      </c>
      <c r="M29" s="4" t="s">
        <v>1157</v>
      </c>
      <c r="N29" s="58" t="s">
        <v>1123</v>
      </c>
      <c r="O29" s="5">
        <v>10.9</v>
      </c>
      <c r="P29" s="5">
        <v>3650</v>
      </c>
      <c r="Q29" s="5">
        <v>39785</v>
      </c>
      <c r="R29" s="5" t="s">
        <v>1122</v>
      </c>
      <c r="S29" s="3" t="s">
        <v>104</v>
      </c>
      <c r="T29" s="3"/>
      <c r="U29" s="1"/>
    </row>
    <row r="30" spans="1:21" ht="16.899999999999999" x14ac:dyDescent="0.4">
      <c r="A30" s="62" t="s">
        <v>1147</v>
      </c>
      <c r="B30" s="2">
        <v>43991</v>
      </c>
      <c r="C30" s="1" t="s">
        <v>6</v>
      </c>
      <c r="D30" s="3" t="s">
        <v>105</v>
      </c>
      <c r="E30" s="2">
        <v>44077</v>
      </c>
      <c r="F30" s="3" t="s">
        <v>471</v>
      </c>
      <c r="G30" s="3" t="s">
        <v>1132</v>
      </c>
      <c r="H30" s="32" t="s">
        <v>1124</v>
      </c>
      <c r="I30" s="3" t="s">
        <v>57</v>
      </c>
      <c r="J30" s="1" t="s">
        <v>106</v>
      </c>
      <c r="K30" s="4">
        <v>1020434</v>
      </c>
      <c r="L30" s="58" t="s">
        <v>1161</v>
      </c>
      <c r="M30" s="4" t="s">
        <v>1155</v>
      </c>
      <c r="N30" s="58" t="s">
        <v>1123</v>
      </c>
      <c r="O30" s="5">
        <v>11.6</v>
      </c>
      <c r="P30" s="5">
        <v>3000</v>
      </c>
      <c r="Q30" s="5">
        <v>34800</v>
      </c>
      <c r="R30" s="5" t="s">
        <v>1122</v>
      </c>
      <c r="S30" s="3" t="s">
        <v>107</v>
      </c>
      <c r="T30" s="3"/>
      <c r="U30" s="1"/>
    </row>
    <row r="31" spans="1:21" ht="16.899999999999999" x14ac:dyDescent="0.4">
      <c r="A31" s="62" t="s">
        <v>1147</v>
      </c>
      <c r="B31" s="2">
        <v>43992</v>
      </c>
      <c r="C31" s="1" t="s">
        <v>108</v>
      </c>
      <c r="D31" s="3" t="s">
        <v>109</v>
      </c>
      <c r="E31" s="2">
        <v>44056</v>
      </c>
      <c r="F31" s="3" t="s">
        <v>525</v>
      </c>
      <c r="G31" s="3" t="s">
        <v>1125</v>
      </c>
      <c r="H31" s="32" t="s">
        <v>1124</v>
      </c>
      <c r="I31" s="3" t="s">
        <v>57</v>
      </c>
      <c r="J31" s="1" t="s">
        <v>110</v>
      </c>
      <c r="L31" s="58" t="s">
        <v>1161</v>
      </c>
      <c r="M31" s="4" t="s">
        <v>1151</v>
      </c>
      <c r="N31" s="58" t="s">
        <v>1123</v>
      </c>
      <c r="O31" s="5">
        <v>14.2</v>
      </c>
      <c r="P31" s="5">
        <v>300</v>
      </c>
      <c r="Q31" s="5">
        <v>4260</v>
      </c>
      <c r="R31" s="5" t="s">
        <v>1145</v>
      </c>
      <c r="S31" s="3" t="s">
        <v>111</v>
      </c>
      <c r="T31" s="3"/>
      <c r="U31" s="1"/>
    </row>
    <row r="32" spans="1:21" ht="16.899999999999999" x14ac:dyDescent="0.4">
      <c r="A32" s="62" t="s">
        <v>1147</v>
      </c>
      <c r="B32" s="2">
        <v>44002</v>
      </c>
      <c r="C32" s="1" t="s">
        <v>98</v>
      </c>
      <c r="D32" s="3" t="s">
        <v>112</v>
      </c>
      <c r="E32" s="2">
        <v>44059</v>
      </c>
      <c r="F32" s="3" t="s">
        <v>471</v>
      </c>
      <c r="G32" s="3" t="s">
        <v>356</v>
      </c>
      <c r="H32" s="32" t="s">
        <v>1124</v>
      </c>
      <c r="I32" s="3" t="s">
        <v>25</v>
      </c>
      <c r="J32" s="1" t="s">
        <v>83</v>
      </c>
      <c r="K32" s="4" t="s">
        <v>113</v>
      </c>
      <c r="L32" s="58" t="s">
        <v>1161</v>
      </c>
      <c r="M32" s="4" t="s">
        <v>1152</v>
      </c>
      <c r="N32" s="58" t="s">
        <v>1123</v>
      </c>
      <c r="O32" s="5">
        <v>13.5</v>
      </c>
      <c r="P32" s="5">
        <v>1500</v>
      </c>
      <c r="Q32" s="5">
        <v>20250</v>
      </c>
      <c r="R32" s="5" t="s">
        <v>1122</v>
      </c>
      <c r="S32" s="3" t="s">
        <v>114</v>
      </c>
      <c r="T32" s="3"/>
      <c r="U32" s="1"/>
    </row>
    <row r="33" spans="1:21" ht="16.899999999999999" x14ac:dyDescent="0.4">
      <c r="A33" s="62" t="s">
        <v>1147</v>
      </c>
      <c r="B33" s="2">
        <v>44005</v>
      </c>
      <c r="C33" s="1" t="s">
        <v>29</v>
      </c>
      <c r="D33" s="3" t="s">
        <v>115</v>
      </c>
      <c r="E33" s="2">
        <v>44064</v>
      </c>
      <c r="F33" s="3" t="s">
        <v>471</v>
      </c>
      <c r="G33" s="3" t="s">
        <v>285</v>
      </c>
      <c r="H33" s="32" t="s">
        <v>1124</v>
      </c>
      <c r="I33" s="3" t="s">
        <v>116</v>
      </c>
      <c r="J33" s="1" t="s">
        <v>118</v>
      </c>
      <c r="K33" s="4" t="s">
        <v>117</v>
      </c>
      <c r="L33" s="58" t="s">
        <v>1160</v>
      </c>
      <c r="M33" s="4" t="s">
        <v>1157</v>
      </c>
      <c r="N33" s="58" t="s">
        <v>1123</v>
      </c>
      <c r="O33" s="5">
        <v>9.5</v>
      </c>
      <c r="P33" s="5">
        <v>1000</v>
      </c>
      <c r="Q33" s="5">
        <v>9850</v>
      </c>
      <c r="R33" s="5" t="s">
        <v>1122</v>
      </c>
      <c r="S33" s="3" t="s">
        <v>119</v>
      </c>
      <c r="T33" s="3"/>
      <c r="U33" s="1"/>
    </row>
    <row r="34" spans="1:21" ht="16.899999999999999" x14ac:dyDescent="0.4">
      <c r="A34" s="62" t="s">
        <v>1147</v>
      </c>
      <c r="B34" s="2">
        <v>44007</v>
      </c>
      <c r="C34" s="1" t="s">
        <v>120</v>
      </c>
      <c r="D34" s="3" t="s">
        <v>121</v>
      </c>
      <c r="E34" s="2">
        <v>44013</v>
      </c>
      <c r="F34" s="3" t="s">
        <v>471</v>
      </c>
      <c r="G34" s="3" t="s">
        <v>356</v>
      </c>
      <c r="H34" s="32" t="s">
        <v>1124</v>
      </c>
      <c r="I34" s="3" t="s">
        <v>95</v>
      </c>
      <c r="L34" s="58" t="s">
        <v>1160</v>
      </c>
      <c r="M34" s="58" t="s">
        <v>1150</v>
      </c>
      <c r="N34" s="58" t="s">
        <v>1123</v>
      </c>
      <c r="O34" s="5">
        <v>3.7</v>
      </c>
      <c r="P34" s="5">
        <v>200</v>
      </c>
      <c r="Q34" s="5">
        <v>740</v>
      </c>
      <c r="R34" s="5" t="s">
        <v>1145</v>
      </c>
      <c r="T34" s="3"/>
      <c r="U34" s="1"/>
    </row>
    <row r="35" spans="1:21" ht="16.899999999999999" x14ac:dyDescent="0.4">
      <c r="A35" s="62" t="s">
        <v>1147</v>
      </c>
      <c r="B35" s="2">
        <v>44015</v>
      </c>
      <c r="C35" s="1" t="s">
        <v>29</v>
      </c>
      <c r="D35" s="3" t="s">
        <v>122</v>
      </c>
      <c r="E35" s="2">
        <v>44038</v>
      </c>
      <c r="F35" s="3" t="s">
        <v>471</v>
      </c>
      <c r="G35" s="3" t="s">
        <v>285</v>
      </c>
      <c r="H35" s="32" t="s">
        <v>1124</v>
      </c>
      <c r="I35" s="3" t="s">
        <v>25</v>
      </c>
      <c r="J35" s="1" t="s">
        <v>83</v>
      </c>
      <c r="K35" s="4" t="s">
        <v>82</v>
      </c>
      <c r="L35" s="58" t="s">
        <v>1161</v>
      </c>
      <c r="M35" s="4" t="s">
        <v>1157</v>
      </c>
      <c r="N35" s="58" t="s">
        <v>1123</v>
      </c>
      <c r="O35" s="5">
        <v>10.9</v>
      </c>
      <c r="P35" s="5">
        <v>1000</v>
      </c>
      <c r="Q35" s="5">
        <v>10900</v>
      </c>
      <c r="R35" s="5" t="s">
        <v>1122</v>
      </c>
      <c r="S35" s="3" t="s">
        <v>123</v>
      </c>
      <c r="T35" s="3"/>
      <c r="U35" s="1"/>
    </row>
    <row r="36" spans="1:21" ht="16.899999999999999" x14ac:dyDescent="0.4">
      <c r="A36" s="62" t="s">
        <v>1147</v>
      </c>
      <c r="B36" s="2">
        <v>44025</v>
      </c>
      <c r="C36" s="1" t="s">
        <v>6</v>
      </c>
      <c r="D36" s="3" t="s">
        <v>124</v>
      </c>
      <c r="E36" s="2">
        <v>44077</v>
      </c>
      <c r="F36" s="3" t="s">
        <v>471</v>
      </c>
      <c r="G36" s="3" t="s">
        <v>1133</v>
      </c>
      <c r="H36" s="32" t="s">
        <v>1124</v>
      </c>
      <c r="I36" s="3" t="s">
        <v>57</v>
      </c>
      <c r="J36" s="1" t="s">
        <v>106</v>
      </c>
      <c r="K36" s="4">
        <v>1020434</v>
      </c>
      <c r="L36" s="58" t="s">
        <v>1161</v>
      </c>
      <c r="M36" s="4" t="s">
        <v>1155</v>
      </c>
      <c r="N36" s="58" t="s">
        <v>1123</v>
      </c>
      <c r="O36" s="5">
        <v>18.5</v>
      </c>
      <c r="P36" s="5">
        <v>200</v>
      </c>
      <c r="Q36" s="5">
        <v>3700</v>
      </c>
      <c r="R36" s="5" t="s">
        <v>1122</v>
      </c>
      <c r="S36" s="3" t="s">
        <v>125</v>
      </c>
      <c r="T36" s="3"/>
      <c r="U36" s="1"/>
    </row>
    <row r="37" spans="1:21" ht="16.899999999999999" x14ac:dyDescent="0.4">
      <c r="A37" s="62" t="s">
        <v>1147</v>
      </c>
      <c r="B37" s="2">
        <v>44035</v>
      </c>
      <c r="C37" s="1" t="s">
        <v>29</v>
      </c>
      <c r="D37" s="3" t="s">
        <v>126</v>
      </c>
      <c r="E37" s="2">
        <v>44101</v>
      </c>
      <c r="F37" s="3" t="s">
        <v>471</v>
      </c>
      <c r="G37" s="3" t="s">
        <v>285</v>
      </c>
      <c r="H37" s="32" t="s">
        <v>1124</v>
      </c>
      <c r="I37" s="3" t="s">
        <v>25</v>
      </c>
      <c r="J37" s="1" t="s">
        <v>83</v>
      </c>
      <c r="K37" s="4" t="s">
        <v>82</v>
      </c>
      <c r="L37" s="58" t="s">
        <v>1161</v>
      </c>
      <c r="M37" s="4" t="s">
        <v>1157</v>
      </c>
      <c r="N37" s="58" t="s">
        <v>1123</v>
      </c>
      <c r="O37" s="5">
        <v>10.9</v>
      </c>
      <c r="P37" s="5">
        <v>1750</v>
      </c>
      <c r="Q37" s="5">
        <v>19075</v>
      </c>
      <c r="R37" s="5" t="s">
        <v>1122</v>
      </c>
      <c r="S37" s="3" t="s">
        <v>127</v>
      </c>
      <c r="T37" s="3"/>
      <c r="U37" s="1"/>
    </row>
    <row r="38" spans="1:21" ht="16.899999999999999" x14ac:dyDescent="0.4">
      <c r="A38" s="62" t="s">
        <v>1147</v>
      </c>
      <c r="B38" s="2">
        <v>44035</v>
      </c>
      <c r="C38" s="1" t="s">
        <v>29</v>
      </c>
      <c r="D38" s="3" t="s">
        <v>128</v>
      </c>
      <c r="E38" s="2">
        <v>44101</v>
      </c>
      <c r="F38" s="3" t="s">
        <v>471</v>
      </c>
      <c r="G38" s="3" t="s">
        <v>285</v>
      </c>
      <c r="H38" s="32" t="s">
        <v>1124</v>
      </c>
      <c r="I38" s="3" t="s">
        <v>25</v>
      </c>
      <c r="J38" s="1" t="s">
        <v>70</v>
      </c>
      <c r="K38" s="4" t="s">
        <v>69</v>
      </c>
      <c r="L38" s="58" t="s">
        <v>1161</v>
      </c>
      <c r="M38" s="4" t="s">
        <v>1157</v>
      </c>
      <c r="N38" s="58" t="s">
        <v>1123</v>
      </c>
      <c r="O38" s="5">
        <v>10.9</v>
      </c>
      <c r="P38" s="5">
        <v>4015</v>
      </c>
      <c r="Q38" s="5">
        <v>43763.5</v>
      </c>
      <c r="R38" s="5" t="s">
        <v>1122</v>
      </c>
      <c r="S38" s="3" t="s">
        <v>129</v>
      </c>
      <c r="T38" s="3"/>
      <c r="U38" s="1"/>
    </row>
    <row r="39" spans="1:21" ht="16.899999999999999" x14ac:dyDescent="0.4">
      <c r="A39" s="62" t="s">
        <v>1147</v>
      </c>
      <c r="B39" s="2">
        <v>44047</v>
      </c>
      <c r="C39" s="1" t="s">
        <v>0</v>
      </c>
      <c r="D39" s="3" t="s">
        <v>130</v>
      </c>
      <c r="E39" s="2">
        <v>44094</v>
      </c>
      <c r="F39" s="3" t="s">
        <v>471</v>
      </c>
      <c r="G39" s="3" t="s">
        <v>356</v>
      </c>
      <c r="H39" s="32" t="s">
        <v>1124</v>
      </c>
      <c r="I39" s="3" t="s">
        <v>25</v>
      </c>
      <c r="J39" s="1" t="s">
        <v>83</v>
      </c>
      <c r="K39" s="4" t="s">
        <v>82</v>
      </c>
      <c r="L39" s="58" t="s">
        <v>1161</v>
      </c>
      <c r="M39" s="4" t="s">
        <v>1158</v>
      </c>
      <c r="N39" s="58" t="s">
        <v>1123</v>
      </c>
      <c r="O39" s="5">
        <v>14.5</v>
      </c>
      <c r="P39" s="5">
        <v>1000</v>
      </c>
      <c r="Q39" s="5">
        <v>14500</v>
      </c>
      <c r="R39" s="5" t="s">
        <v>1145</v>
      </c>
      <c r="S39" s="3" t="s">
        <v>131</v>
      </c>
      <c r="T39" s="3"/>
      <c r="U39" s="1"/>
    </row>
    <row r="40" spans="1:21" ht="16.899999999999999" x14ac:dyDescent="0.4">
      <c r="A40" s="62" t="s">
        <v>1147</v>
      </c>
      <c r="B40" s="2">
        <v>44061</v>
      </c>
      <c r="C40" s="1" t="s">
        <v>48</v>
      </c>
      <c r="D40" s="3">
        <v>43319</v>
      </c>
      <c r="E40" s="2">
        <v>44126</v>
      </c>
      <c r="F40" s="3" t="s">
        <v>132</v>
      </c>
      <c r="G40" s="3" t="s">
        <v>285</v>
      </c>
      <c r="H40" s="32" t="s">
        <v>1124</v>
      </c>
      <c r="I40" s="3" t="s">
        <v>2</v>
      </c>
      <c r="J40" s="1" t="s">
        <v>134</v>
      </c>
      <c r="K40" s="4" t="s">
        <v>133</v>
      </c>
      <c r="L40" s="58" t="s">
        <v>1161</v>
      </c>
      <c r="M40" s="4" t="s">
        <v>1152</v>
      </c>
      <c r="N40" s="58" t="s">
        <v>1123</v>
      </c>
      <c r="O40" s="5">
        <v>18.3</v>
      </c>
      <c r="P40" s="5">
        <v>3200</v>
      </c>
      <c r="Q40" s="5">
        <v>50697.5</v>
      </c>
      <c r="R40" s="5" t="s">
        <v>1122</v>
      </c>
      <c r="S40" s="3" t="s">
        <v>135</v>
      </c>
      <c r="T40" s="3"/>
      <c r="U40" s="1"/>
    </row>
    <row r="41" spans="1:21" ht="16.899999999999999" x14ac:dyDescent="0.4">
      <c r="A41" s="62" t="s">
        <v>1147</v>
      </c>
      <c r="B41" s="2">
        <v>44064</v>
      </c>
      <c r="C41" s="1" t="s">
        <v>29</v>
      </c>
      <c r="D41" s="3" t="s">
        <v>136</v>
      </c>
      <c r="E41" s="2">
        <v>44138</v>
      </c>
      <c r="F41" s="3" t="s">
        <v>471</v>
      </c>
      <c r="G41" s="3" t="s">
        <v>285</v>
      </c>
      <c r="H41" s="32" t="s">
        <v>1124</v>
      </c>
      <c r="I41" s="3" t="s">
        <v>25</v>
      </c>
      <c r="J41" s="1" t="s">
        <v>70</v>
      </c>
      <c r="K41" s="4" t="s">
        <v>137</v>
      </c>
      <c r="L41" s="58" t="s">
        <v>1161</v>
      </c>
      <c r="M41" s="4" t="s">
        <v>1157</v>
      </c>
      <c r="N41" s="58" t="s">
        <v>1123</v>
      </c>
      <c r="O41" s="5">
        <v>11.5</v>
      </c>
      <c r="P41" s="5">
        <v>100</v>
      </c>
      <c r="Q41" s="5">
        <v>1150</v>
      </c>
      <c r="R41" s="5" t="s">
        <v>1122</v>
      </c>
      <c r="S41" s="3" t="s">
        <v>138</v>
      </c>
      <c r="T41" s="3"/>
      <c r="U41" s="1"/>
    </row>
    <row r="42" spans="1:21" ht="16.899999999999999" x14ac:dyDescent="0.4">
      <c r="A42" s="62" t="s">
        <v>1147</v>
      </c>
      <c r="B42" s="2">
        <v>44064</v>
      </c>
      <c r="C42" s="1" t="s">
        <v>29</v>
      </c>
      <c r="D42" s="3" t="s">
        <v>139</v>
      </c>
      <c r="E42" s="2">
        <v>44138</v>
      </c>
      <c r="F42" s="3" t="s">
        <v>471</v>
      </c>
      <c r="G42" s="3" t="s">
        <v>285</v>
      </c>
      <c r="H42" s="32" t="s">
        <v>1124</v>
      </c>
      <c r="I42" s="3" t="s">
        <v>25</v>
      </c>
      <c r="J42" s="1" t="s">
        <v>37</v>
      </c>
      <c r="K42" s="4" t="s">
        <v>140</v>
      </c>
      <c r="L42" s="58" t="s">
        <v>1161</v>
      </c>
      <c r="M42" s="4" t="s">
        <v>1157</v>
      </c>
      <c r="N42" s="58" t="s">
        <v>1123</v>
      </c>
      <c r="O42" s="5">
        <v>11</v>
      </c>
      <c r="P42" s="5">
        <v>3500</v>
      </c>
      <c r="Q42" s="5">
        <v>38500</v>
      </c>
      <c r="R42" s="5" t="s">
        <v>1122</v>
      </c>
      <c r="S42" s="3" t="s">
        <v>141</v>
      </c>
      <c r="T42" s="3"/>
      <c r="U42" s="1"/>
    </row>
    <row r="43" spans="1:21" ht="16.899999999999999" x14ac:dyDescent="0.4">
      <c r="A43" s="62" t="s">
        <v>1147</v>
      </c>
      <c r="B43" s="2">
        <v>44092</v>
      </c>
      <c r="C43" s="1" t="s">
        <v>142</v>
      </c>
      <c r="D43" s="3" t="s">
        <v>143</v>
      </c>
      <c r="E43" s="2">
        <v>44104</v>
      </c>
      <c r="F43" s="3" t="s">
        <v>471</v>
      </c>
      <c r="G43" s="3" t="s">
        <v>1125</v>
      </c>
      <c r="H43" s="32" t="s">
        <v>1124</v>
      </c>
      <c r="I43" s="3" t="s">
        <v>57</v>
      </c>
      <c r="J43" s="1" t="s">
        <v>145</v>
      </c>
      <c r="K43" s="4" t="s">
        <v>144</v>
      </c>
      <c r="L43" s="58" t="s">
        <v>1161</v>
      </c>
      <c r="M43" s="4" t="s">
        <v>1151</v>
      </c>
      <c r="N43" s="58" t="s">
        <v>1123</v>
      </c>
      <c r="O43" s="5">
        <v>13.5</v>
      </c>
      <c r="P43" s="5">
        <v>2</v>
      </c>
      <c r="Q43" s="5">
        <v>300</v>
      </c>
      <c r="R43" s="5" t="s">
        <v>1145</v>
      </c>
      <c r="T43" s="3"/>
      <c r="U43" s="1"/>
    </row>
    <row r="44" spans="1:21" ht="16.899999999999999" x14ac:dyDescent="0.4">
      <c r="A44" s="62" t="s">
        <v>1147</v>
      </c>
      <c r="B44" s="2">
        <v>44097</v>
      </c>
      <c r="C44" s="1" t="s">
        <v>98</v>
      </c>
      <c r="D44" s="3" t="s">
        <v>146</v>
      </c>
      <c r="E44" s="2">
        <v>44153</v>
      </c>
      <c r="F44" s="3" t="s">
        <v>471</v>
      </c>
      <c r="G44" s="3" t="s">
        <v>356</v>
      </c>
      <c r="H44" s="32" t="s">
        <v>1124</v>
      </c>
      <c r="I44" s="3" t="s">
        <v>25</v>
      </c>
      <c r="J44" s="1" t="s">
        <v>148</v>
      </c>
      <c r="K44" s="4" t="s">
        <v>147</v>
      </c>
      <c r="L44" s="58" t="s">
        <v>1161</v>
      </c>
      <c r="M44" s="4" t="s">
        <v>1152</v>
      </c>
      <c r="N44" s="58" t="s">
        <v>1123</v>
      </c>
      <c r="O44" s="5">
        <v>17.45</v>
      </c>
      <c r="P44" s="5">
        <v>500</v>
      </c>
      <c r="Q44" s="5">
        <v>8725</v>
      </c>
      <c r="R44" s="5" t="s">
        <v>1122</v>
      </c>
      <c r="S44" s="3" t="s">
        <v>149</v>
      </c>
      <c r="T44" s="3"/>
      <c r="U44" s="1"/>
    </row>
    <row r="45" spans="1:21" ht="16.899999999999999" x14ac:dyDescent="0.4">
      <c r="A45" s="62" t="s">
        <v>1147</v>
      </c>
      <c r="B45" s="2">
        <v>44118</v>
      </c>
      <c r="C45" s="1" t="s">
        <v>55</v>
      </c>
      <c r="D45" s="3" t="s">
        <v>152</v>
      </c>
      <c r="E45" s="2">
        <v>44162</v>
      </c>
      <c r="F45" s="3" t="s">
        <v>471</v>
      </c>
      <c r="G45" s="3" t="s">
        <v>356</v>
      </c>
      <c r="H45" s="32" t="s">
        <v>1124</v>
      </c>
      <c r="I45" s="3" t="s">
        <v>153</v>
      </c>
      <c r="J45" s="1" t="s">
        <v>155</v>
      </c>
      <c r="K45" s="4" t="s">
        <v>154</v>
      </c>
      <c r="L45" s="58" t="s">
        <v>1161</v>
      </c>
      <c r="M45" s="4" t="s">
        <v>1159</v>
      </c>
      <c r="N45" s="58" t="s">
        <v>1123</v>
      </c>
      <c r="O45" s="5">
        <v>14.3</v>
      </c>
      <c r="P45" s="5">
        <v>250</v>
      </c>
      <c r="Q45" s="5">
        <v>3575</v>
      </c>
      <c r="R45" s="5" t="s">
        <v>1145</v>
      </c>
      <c r="T45" s="3"/>
      <c r="U45" s="1"/>
    </row>
    <row r="46" spans="1:21" ht="16.899999999999999" x14ac:dyDescent="0.4">
      <c r="A46" s="62" t="s">
        <v>1147</v>
      </c>
      <c r="B46" s="2">
        <v>44118</v>
      </c>
      <c r="C46" s="1" t="s">
        <v>29</v>
      </c>
      <c r="D46" s="3" t="s">
        <v>150</v>
      </c>
      <c r="E46" s="2">
        <v>44138</v>
      </c>
      <c r="F46" s="3" t="s">
        <v>471</v>
      </c>
      <c r="G46" s="3" t="s">
        <v>285</v>
      </c>
      <c r="H46" s="32" t="s">
        <v>1124</v>
      </c>
      <c r="I46" s="3" t="s">
        <v>31</v>
      </c>
      <c r="J46" s="1" t="s">
        <v>70</v>
      </c>
      <c r="K46" s="4" t="s">
        <v>151</v>
      </c>
      <c r="L46" s="58" t="s">
        <v>1160</v>
      </c>
      <c r="M46" s="4" t="s">
        <v>1157</v>
      </c>
      <c r="N46" s="58" t="s">
        <v>1123</v>
      </c>
      <c r="O46" s="5">
        <v>12</v>
      </c>
      <c r="P46" s="5">
        <v>250</v>
      </c>
      <c r="Q46" s="5">
        <v>3000</v>
      </c>
      <c r="R46" s="5" t="s">
        <v>1122</v>
      </c>
      <c r="T46" s="3"/>
      <c r="U46" s="1"/>
    </row>
    <row r="47" spans="1:21" ht="16.899999999999999" x14ac:dyDescent="0.4">
      <c r="A47" s="62" t="s">
        <v>1147</v>
      </c>
      <c r="B47" s="2">
        <v>44126</v>
      </c>
      <c r="C47" s="1" t="s">
        <v>29</v>
      </c>
      <c r="D47" s="3" t="s">
        <v>156</v>
      </c>
      <c r="E47" s="2">
        <v>44169</v>
      </c>
      <c r="F47" s="3" t="s">
        <v>471</v>
      </c>
      <c r="G47" s="3" t="s">
        <v>285</v>
      </c>
      <c r="H47" s="32" t="s">
        <v>1124</v>
      </c>
      <c r="I47" s="3" t="s">
        <v>31</v>
      </c>
      <c r="J47" s="1" t="s">
        <v>41</v>
      </c>
      <c r="K47" s="4" t="s">
        <v>157</v>
      </c>
      <c r="L47" s="58" t="s">
        <v>1160</v>
      </c>
      <c r="M47" s="4" t="s">
        <v>1157</v>
      </c>
      <c r="N47" s="58" t="s">
        <v>1123</v>
      </c>
      <c r="O47" s="5">
        <v>8.1</v>
      </c>
      <c r="P47" s="5">
        <v>3600</v>
      </c>
      <c r="Q47" s="5">
        <v>29160</v>
      </c>
      <c r="R47" s="5" t="s">
        <v>1122</v>
      </c>
      <c r="S47" s="3" t="s">
        <v>158</v>
      </c>
      <c r="T47" s="3"/>
      <c r="U47" s="1"/>
    </row>
    <row r="48" spans="1:21" ht="16.899999999999999" x14ac:dyDescent="0.4">
      <c r="A48" s="62" t="s">
        <v>1147</v>
      </c>
      <c r="B48" s="2">
        <v>44132</v>
      </c>
      <c r="C48" s="1" t="s">
        <v>55</v>
      </c>
      <c r="D48" s="3" t="s">
        <v>159</v>
      </c>
      <c r="E48" s="2">
        <v>44162</v>
      </c>
      <c r="F48" s="3" t="s">
        <v>471</v>
      </c>
      <c r="G48" s="3" t="s">
        <v>356</v>
      </c>
      <c r="H48" s="32" t="s">
        <v>1124</v>
      </c>
      <c r="I48" s="3" t="s">
        <v>153</v>
      </c>
      <c r="J48" s="1" t="s">
        <v>155</v>
      </c>
      <c r="K48" s="4" t="s">
        <v>154</v>
      </c>
      <c r="L48" s="58" t="s">
        <v>1161</v>
      </c>
      <c r="M48" s="4" t="s">
        <v>1159</v>
      </c>
      <c r="N48" s="58" t="s">
        <v>1123</v>
      </c>
      <c r="O48" s="5">
        <v>14.3</v>
      </c>
      <c r="P48" s="5">
        <v>200</v>
      </c>
      <c r="Q48" s="5">
        <v>2860</v>
      </c>
      <c r="R48" s="5" t="s">
        <v>1145</v>
      </c>
      <c r="T48" s="3"/>
      <c r="U48" s="1"/>
    </row>
    <row r="49" spans="1:21" ht="16.899999999999999" x14ac:dyDescent="0.4">
      <c r="A49" s="62" t="s">
        <v>1147</v>
      </c>
      <c r="B49" s="2">
        <v>44132</v>
      </c>
      <c r="C49" s="1" t="s">
        <v>160</v>
      </c>
      <c r="D49" s="3" t="s">
        <v>161</v>
      </c>
      <c r="E49" s="2">
        <v>44157</v>
      </c>
      <c r="F49" s="3" t="s">
        <v>471</v>
      </c>
      <c r="G49" s="3" t="s">
        <v>1125</v>
      </c>
      <c r="H49" s="32" t="s">
        <v>1124</v>
      </c>
      <c r="I49" s="3" t="s">
        <v>57</v>
      </c>
      <c r="J49" s="1" t="s">
        <v>163</v>
      </c>
      <c r="K49" s="4" t="s">
        <v>162</v>
      </c>
      <c r="L49" s="58" t="s">
        <v>1161</v>
      </c>
      <c r="M49" s="4" t="s">
        <v>1151</v>
      </c>
      <c r="N49" s="58" t="s">
        <v>1123</v>
      </c>
      <c r="O49" s="5">
        <v>15.95</v>
      </c>
      <c r="P49" s="5">
        <v>400</v>
      </c>
      <c r="Q49" s="5">
        <v>6380</v>
      </c>
      <c r="R49" s="5" t="s">
        <v>1145</v>
      </c>
      <c r="S49" s="3" t="s">
        <v>164</v>
      </c>
      <c r="T49" s="3"/>
      <c r="U49" s="1"/>
    </row>
    <row r="50" spans="1:21" ht="16.899999999999999" x14ac:dyDescent="0.4">
      <c r="A50" s="62" t="s">
        <v>1147</v>
      </c>
      <c r="B50" s="2">
        <v>44139</v>
      </c>
      <c r="C50" s="1" t="s">
        <v>29</v>
      </c>
      <c r="D50" s="3" t="s">
        <v>165</v>
      </c>
      <c r="E50" s="2">
        <v>44189</v>
      </c>
      <c r="F50" s="3" t="s">
        <v>471</v>
      </c>
      <c r="G50" s="3" t="s">
        <v>285</v>
      </c>
      <c r="H50" s="32" t="s">
        <v>1124</v>
      </c>
      <c r="I50" s="3" t="s">
        <v>116</v>
      </c>
      <c r="J50" s="1" t="s">
        <v>118</v>
      </c>
      <c r="K50" s="4" t="s">
        <v>117</v>
      </c>
      <c r="L50" s="58" t="s">
        <v>1160</v>
      </c>
      <c r="M50" s="4" t="s">
        <v>1157</v>
      </c>
      <c r="N50" s="58" t="s">
        <v>1123</v>
      </c>
      <c r="O50" s="5">
        <v>9.5</v>
      </c>
      <c r="P50" s="5">
        <v>1000</v>
      </c>
      <c r="Q50" s="5">
        <v>9500</v>
      </c>
      <c r="R50" s="5" t="s">
        <v>1122</v>
      </c>
      <c r="S50" s="3" t="s">
        <v>166</v>
      </c>
      <c r="T50" s="3"/>
      <c r="U50" s="1"/>
    </row>
    <row r="51" spans="1:21" ht="16.899999999999999" x14ac:dyDescent="0.4">
      <c r="A51" s="62" t="s">
        <v>1147</v>
      </c>
      <c r="B51" s="2">
        <v>44139</v>
      </c>
      <c r="C51" s="1" t="s">
        <v>29</v>
      </c>
      <c r="D51" s="3" t="s">
        <v>165</v>
      </c>
      <c r="E51" s="2">
        <v>44189</v>
      </c>
      <c r="F51" s="3" t="s">
        <v>471</v>
      </c>
      <c r="G51" s="3" t="s">
        <v>285</v>
      </c>
      <c r="H51" s="32" t="s">
        <v>1124</v>
      </c>
      <c r="I51" s="3" t="s">
        <v>25</v>
      </c>
      <c r="J51" s="1" t="s">
        <v>83</v>
      </c>
      <c r="K51" s="4" t="s">
        <v>82</v>
      </c>
      <c r="L51" s="58" t="s">
        <v>1161</v>
      </c>
      <c r="M51" s="4" t="s">
        <v>1157</v>
      </c>
      <c r="N51" s="58" t="s">
        <v>1123</v>
      </c>
      <c r="O51" s="5">
        <v>10.9</v>
      </c>
      <c r="P51" s="5">
        <v>1000</v>
      </c>
      <c r="Q51" s="5">
        <v>10900</v>
      </c>
      <c r="R51" s="5" t="s">
        <v>1122</v>
      </c>
      <c r="S51" s="3" t="s">
        <v>167</v>
      </c>
      <c r="T51" s="3"/>
      <c r="U51" s="1"/>
    </row>
    <row r="52" spans="1:21" ht="16.899999999999999" x14ac:dyDescent="0.4">
      <c r="A52" s="62" t="s">
        <v>1147</v>
      </c>
      <c r="B52" s="2">
        <v>44141</v>
      </c>
      <c r="C52" s="1" t="s">
        <v>29</v>
      </c>
      <c r="E52" s="2">
        <v>44155</v>
      </c>
      <c r="F52" s="3" t="s">
        <v>471</v>
      </c>
      <c r="G52" s="3" t="s">
        <v>285</v>
      </c>
      <c r="H52" s="32" t="s">
        <v>1124</v>
      </c>
      <c r="I52" s="3" t="s">
        <v>2</v>
      </c>
      <c r="J52" s="1" t="s">
        <v>169</v>
      </c>
      <c r="K52" s="4" t="s">
        <v>168</v>
      </c>
      <c r="L52" s="58" t="s">
        <v>1161</v>
      </c>
      <c r="M52" s="4" t="s">
        <v>1157</v>
      </c>
      <c r="N52" s="58" t="s">
        <v>1123</v>
      </c>
      <c r="O52" s="5">
        <v>16</v>
      </c>
      <c r="P52" s="5">
        <v>16</v>
      </c>
      <c r="Q52" s="5">
        <v>0</v>
      </c>
      <c r="R52" s="5" t="s">
        <v>1122</v>
      </c>
      <c r="T52" s="3"/>
      <c r="U52" s="1"/>
    </row>
    <row r="53" spans="1:21" ht="16.899999999999999" x14ac:dyDescent="0.4">
      <c r="A53" s="62" t="s">
        <v>1147</v>
      </c>
      <c r="B53" s="2">
        <v>44141</v>
      </c>
      <c r="C53" s="1" t="s">
        <v>29</v>
      </c>
      <c r="E53" s="2">
        <v>44155</v>
      </c>
      <c r="F53" s="3" t="s">
        <v>471</v>
      </c>
      <c r="G53" s="3" t="s">
        <v>285</v>
      </c>
      <c r="H53" s="32" t="s">
        <v>1124</v>
      </c>
      <c r="I53" s="3" t="s">
        <v>170</v>
      </c>
      <c r="J53" s="1" t="s">
        <v>169</v>
      </c>
      <c r="K53" s="4" t="s">
        <v>168</v>
      </c>
      <c r="L53" s="58" t="s">
        <v>1160</v>
      </c>
      <c r="M53" s="4" t="s">
        <v>1157</v>
      </c>
      <c r="N53" s="58" t="s">
        <v>1123</v>
      </c>
      <c r="O53" s="5">
        <v>12.8</v>
      </c>
      <c r="P53" s="5">
        <v>7</v>
      </c>
      <c r="Q53" s="5">
        <v>0</v>
      </c>
      <c r="R53" s="5" t="s">
        <v>1122</v>
      </c>
      <c r="T53" s="3"/>
      <c r="U53" s="1"/>
    </row>
    <row r="54" spans="1:21" ht="16.899999999999999" x14ac:dyDescent="0.4">
      <c r="A54" s="62" t="s">
        <v>1147</v>
      </c>
      <c r="B54" s="2">
        <v>44145</v>
      </c>
      <c r="C54" s="1" t="s">
        <v>29</v>
      </c>
      <c r="D54" s="3" t="s">
        <v>171</v>
      </c>
      <c r="E54" s="2">
        <v>44189</v>
      </c>
      <c r="F54" s="3" t="s">
        <v>471</v>
      </c>
      <c r="G54" s="3" t="s">
        <v>285</v>
      </c>
      <c r="H54" s="32" t="s">
        <v>1124</v>
      </c>
      <c r="I54" s="3" t="s">
        <v>25</v>
      </c>
      <c r="J54" s="1" t="s">
        <v>70</v>
      </c>
      <c r="K54" s="4" t="s">
        <v>69</v>
      </c>
      <c r="L54" s="58" t="s">
        <v>1161</v>
      </c>
      <c r="M54" s="4" t="s">
        <v>1157</v>
      </c>
      <c r="N54" s="58" t="s">
        <v>1123</v>
      </c>
      <c r="O54" s="5">
        <v>10.9</v>
      </c>
      <c r="P54" s="5">
        <v>2990</v>
      </c>
      <c r="Q54" s="5">
        <v>32591</v>
      </c>
      <c r="R54" s="5" t="s">
        <v>1122</v>
      </c>
      <c r="S54" s="3" t="s">
        <v>172</v>
      </c>
      <c r="T54" s="3"/>
      <c r="U54" s="1"/>
    </row>
    <row r="55" spans="1:21" ht="16.899999999999999" x14ac:dyDescent="0.4">
      <c r="A55" s="62" t="s">
        <v>1147</v>
      </c>
      <c r="B55" s="2">
        <v>44145</v>
      </c>
      <c r="C55" s="1" t="s">
        <v>29</v>
      </c>
      <c r="D55" s="3" t="s">
        <v>173</v>
      </c>
      <c r="E55" s="2">
        <v>44189</v>
      </c>
      <c r="F55" s="3" t="s">
        <v>471</v>
      </c>
      <c r="G55" s="3" t="s">
        <v>285</v>
      </c>
      <c r="H55" s="32" t="s">
        <v>1124</v>
      </c>
      <c r="I55" s="3" t="s">
        <v>25</v>
      </c>
      <c r="J55" s="1" t="s">
        <v>70</v>
      </c>
      <c r="K55" s="4" t="s">
        <v>137</v>
      </c>
      <c r="L55" s="58" t="s">
        <v>1161</v>
      </c>
      <c r="M55" s="4" t="s">
        <v>1157</v>
      </c>
      <c r="N55" s="58" t="s">
        <v>1123</v>
      </c>
      <c r="O55" s="5">
        <v>11.5</v>
      </c>
      <c r="P55" s="5">
        <v>200</v>
      </c>
      <c r="Q55" s="5">
        <v>2300</v>
      </c>
      <c r="R55" s="5" t="s">
        <v>1122</v>
      </c>
      <c r="S55" s="3" t="s">
        <v>174</v>
      </c>
      <c r="T55" s="3"/>
      <c r="U55" s="1"/>
    </row>
    <row r="56" spans="1:21" ht="16.899999999999999" x14ac:dyDescent="0.4">
      <c r="A56" s="62" t="s">
        <v>1147</v>
      </c>
      <c r="B56" s="2">
        <v>44159</v>
      </c>
      <c r="C56" s="1" t="s">
        <v>29</v>
      </c>
      <c r="D56" s="3" t="s">
        <v>175</v>
      </c>
      <c r="E56" s="2">
        <v>44220</v>
      </c>
      <c r="F56" s="3" t="s">
        <v>471</v>
      </c>
      <c r="G56" s="3" t="s">
        <v>285</v>
      </c>
      <c r="H56" s="32" t="s">
        <v>1124</v>
      </c>
      <c r="I56" s="3" t="s">
        <v>25</v>
      </c>
      <c r="J56" s="1" t="s">
        <v>41</v>
      </c>
      <c r="K56" s="4" t="s">
        <v>40</v>
      </c>
      <c r="L56" s="58" t="s">
        <v>1161</v>
      </c>
      <c r="M56" s="4" t="s">
        <v>1157</v>
      </c>
      <c r="N56" s="58" t="s">
        <v>1123</v>
      </c>
      <c r="O56" s="5">
        <v>12.3</v>
      </c>
      <c r="P56" s="5">
        <v>3000</v>
      </c>
      <c r="Q56" s="5">
        <v>36900</v>
      </c>
      <c r="R56" s="5" t="s">
        <v>1122</v>
      </c>
      <c r="S56" s="3" t="s">
        <v>176</v>
      </c>
      <c r="T56" s="3"/>
      <c r="U56" s="1"/>
    </row>
    <row r="57" spans="1:21" ht="16.899999999999999" x14ac:dyDescent="0.4">
      <c r="A57" s="62" t="s">
        <v>1147</v>
      </c>
      <c r="B57" s="2">
        <v>44159</v>
      </c>
      <c r="C57" s="1" t="s">
        <v>29</v>
      </c>
      <c r="D57" s="3" t="s">
        <v>177</v>
      </c>
      <c r="E57" s="2">
        <v>44220</v>
      </c>
      <c r="F57" s="3" t="s">
        <v>471</v>
      </c>
      <c r="G57" s="3" t="s">
        <v>285</v>
      </c>
      <c r="H57" s="32" t="s">
        <v>1124</v>
      </c>
      <c r="I57" s="3" t="s">
        <v>31</v>
      </c>
      <c r="J57" s="1" t="s">
        <v>4</v>
      </c>
      <c r="K57" s="4" t="s">
        <v>178</v>
      </c>
      <c r="L57" s="58" t="s">
        <v>1160</v>
      </c>
      <c r="M57" s="4" t="s">
        <v>1157</v>
      </c>
      <c r="N57" s="58" t="s">
        <v>1123</v>
      </c>
      <c r="O57" s="5">
        <v>12</v>
      </c>
      <c r="P57" s="5">
        <v>200</v>
      </c>
      <c r="Q57" s="5">
        <v>2400</v>
      </c>
      <c r="R57" s="5" t="s">
        <v>1122</v>
      </c>
      <c r="S57" s="3" t="s">
        <v>179</v>
      </c>
      <c r="T57" s="3"/>
      <c r="U57" s="1"/>
    </row>
    <row r="58" spans="1:21" ht="16.899999999999999" x14ac:dyDescent="0.4">
      <c r="A58" s="62" t="s">
        <v>1147</v>
      </c>
      <c r="B58" s="2">
        <v>44161</v>
      </c>
      <c r="C58" s="1" t="s">
        <v>29</v>
      </c>
      <c r="D58" s="3" t="s">
        <v>180</v>
      </c>
      <c r="E58" s="2">
        <v>44232</v>
      </c>
      <c r="F58" s="3" t="s">
        <v>471</v>
      </c>
      <c r="G58" s="3" t="s">
        <v>285</v>
      </c>
      <c r="H58" s="32" t="s">
        <v>1124</v>
      </c>
      <c r="I58" s="3" t="s">
        <v>25</v>
      </c>
      <c r="J58" s="1" t="s">
        <v>41</v>
      </c>
      <c r="K58" s="4" t="s">
        <v>181</v>
      </c>
      <c r="L58" s="58" t="s">
        <v>1161</v>
      </c>
      <c r="M58" s="4" t="s">
        <v>1157</v>
      </c>
      <c r="N58" s="58" t="s">
        <v>1123</v>
      </c>
      <c r="O58" s="5">
        <v>10.95</v>
      </c>
      <c r="P58" s="5">
        <v>7200</v>
      </c>
      <c r="Q58" s="5">
        <v>78840</v>
      </c>
      <c r="R58" s="5" t="s">
        <v>1122</v>
      </c>
      <c r="S58" s="3" t="s">
        <v>182</v>
      </c>
      <c r="T58" s="3"/>
      <c r="U58" s="1"/>
    </row>
    <row r="59" spans="1:21" ht="16.899999999999999" x14ac:dyDescent="0.4">
      <c r="A59" s="62" t="s">
        <v>1147</v>
      </c>
      <c r="B59" s="2">
        <v>44168</v>
      </c>
      <c r="C59" s="1" t="s">
        <v>0</v>
      </c>
      <c r="D59" s="3" t="s">
        <v>183</v>
      </c>
      <c r="E59" s="2">
        <v>44172</v>
      </c>
      <c r="F59" s="3" t="s">
        <v>184</v>
      </c>
      <c r="G59" s="3" t="s">
        <v>356</v>
      </c>
      <c r="H59" s="32" t="s">
        <v>1130</v>
      </c>
      <c r="I59" s="3" t="s">
        <v>185</v>
      </c>
      <c r="J59" s="1" t="s">
        <v>186</v>
      </c>
      <c r="K59" s="4" t="s">
        <v>186</v>
      </c>
      <c r="L59" s="58" t="s">
        <v>1160</v>
      </c>
      <c r="M59" s="58" t="s">
        <v>1150</v>
      </c>
      <c r="N59" s="58" t="s">
        <v>1123</v>
      </c>
      <c r="O59" s="5">
        <v>0.5</v>
      </c>
      <c r="P59" s="5">
        <v>5000</v>
      </c>
      <c r="Q59" s="5">
        <v>2500</v>
      </c>
      <c r="R59" s="5" t="s">
        <v>1145</v>
      </c>
      <c r="T59" s="3"/>
      <c r="U59" s="1"/>
    </row>
    <row r="60" spans="1:21" ht="16.899999999999999" x14ac:dyDescent="0.4">
      <c r="A60" s="62" t="s">
        <v>1147</v>
      </c>
      <c r="B60" s="2">
        <v>44173</v>
      </c>
      <c r="C60" s="1" t="s">
        <v>29</v>
      </c>
      <c r="D60" s="3" t="s">
        <v>187</v>
      </c>
      <c r="E60" s="2">
        <v>44232</v>
      </c>
      <c r="F60" s="3" t="s">
        <v>471</v>
      </c>
      <c r="G60" s="3" t="s">
        <v>285</v>
      </c>
      <c r="H60" s="32" t="s">
        <v>1124</v>
      </c>
      <c r="I60" s="3" t="s">
        <v>25</v>
      </c>
      <c r="J60" s="1" t="s">
        <v>41</v>
      </c>
      <c r="K60" s="4" t="s">
        <v>181</v>
      </c>
      <c r="L60" s="58" t="s">
        <v>1161</v>
      </c>
      <c r="M60" s="4" t="s">
        <v>1157</v>
      </c>
      <c r="N60" s="58" t="s">
        <v>1123</v>
      </c>
      <c r="O60" s="5">
        <v>12.3</v>
      </c>
      <c r="P60" s="5">
        <v>150</v>
      </c>
      <c r="Q60" s="5">
        <v>1845</v>
      </c>
      <c r="R60" s="5" t="s">
        <v>1122</v>
      </c>
      <c r="S60" s="3" t="s">
        <v>188</v>
      </c>
      <c r="T60" s="3"/>
      <c r="U60" s="1"/>
    </row>
    <row r="61" spans="1:21" ht="16.899999999999999" x14ac:dyDescent="0.4">
      <c r="A61" s="62" t="s">
        <v>1147</v>
      </c>
      <c r="B61" s="2">
        <v>44173</v>
      </c>
      <c r="C61" s="1" t="s">
        <v>29</v>
      </c>
      <c r="D61" s="3" t="s">
        <v>187</v>
      </c>
      <c r="E61" s="2">
        <v>44232</v>
      </c>
      <c r="F61" s="3" t="s">
        <v>471</v>
      </c>
      <c r="G61" s="3" t="s">
        <v>285</v>
      </c>
      <c r="H61" s="32" t="s">
        <v>1124</v>
      </c>
      <c r="I61" s="3" t="s">
        <v>25</v>
      </c>
      <c r="J61" s="1" t="s">
        <v>41</v>
      </c>
      <c r="K61" s="4" t="s">
        <v>181</v>
      </c>
      <c r="L61" s="58" t="s">
        <v>1161</v>
      </c>
      <c r="M61" s="4" t="s">
        <v>1157</v>
      </c>
      <c r="N61" s="58" t="s">
        <v>1123</v>
      </c>
      <c r="O61" s="5">
        <v>10.95</v>
      </c>
      <c r="P61" s="5">
        <v>50</v>
      </c>
      <c r="Q61" s="5">
        <v>547.5</v>
      </c>
      <c r="R61" s="5" t="s">
        <v>1122</v>
      </c>
      <c r="S61" s="3" t="s">
        <v>189</v>
      </c>
      <c r="T61" s="3"/>
      <c r="U61" s="1"/>
    </row>
    <row r="62" spans="1:21" ht="16.899999999999999" x14ac:dyDescent="0.4">
      <c r="A62" s="62" t="s">
        <v>1147</v>
      </c>
      <c r="B62" s="2">
        <v>44173</v>
      </c>
      <c r="C62" s="1" t="s">
        <v>0</v>
      </c>
      <c r="D62" s="3" t="s">
        <v>190</v>
      </c>
      <c r="E62" s="2">
        <v>44180</v>
      </c>
      <c r="F62" s="3" t="s">
        <v>191</v>
      </c>
      <c r="G62" s="3" t="s">
        <v>356</v>
      </c>
      <c r="H62" s="32" t="s">
        <v>1130</v>
      </c>
      <c r="I62" s="3" t="s">
        <v>185</v>
      </c>
      <c r="J62" s="1" t="s">
        <v>186</v>
      </c>
      <c r="K62" s="4" t="s">
        <v>186</v>
      </c>
      <c r="L62" s="58" t="s">
        <v>1160</v>
      </c>
      <c r="M62" s="58" t="s">
        <v>1150</v>
      </c>
      <c r="N62" s="58" t="s">
        <v>1123</v>
      </c>
      <c r="O62" s="5">
        <v>0.5</v>
      </c>
      <c r="P62" s="5">
        <v>10000</v>
      </c>
      <c r="Q62" s="5">
        <v>5000</v>
      </c>
      <c r="R62" s="5" t="s">
        <v>1145</v>
      </c>
      <c r="T62" s="3"/>
      <c r="U62" s="1"/>
    </row>
    <row r="63" spans="1:21" ht="16.899999999999999" x14ac:dyDescent="0.4">
      <c r="A63" s="62" t="s">
        <v>1147</v>
      </c>
      <c r="B63" s="2">
        <v>44187</v>
      </c>
      <c r="C63" s="1" t="s">
        <v>120</v>
      </c>
      <c r="D63" s="3" t="s">
        <v>192</v>
      </c>
      <c r="E63" s="2">
        <v>44257</v>
      </c>
      <c r="F63" s="3" t="s">
        <v>471</v>
      </c>
      <c r="G63" s="3" t="s">
        <v>356</v>
      </c>
      <c r="H63" s="32" t="s">
        <v>1124</v>
      </c>
      <c r="I63" s="3" t="s">
        <v>57</v>
      </c>
      <c r="L63" s="58" t="s">
        <v>1161</v>
      </c>
      <c r="M63" s="4" t="s">
        <v>1151</v>
      </c>
      <c r="N63" s="58" t="s">
        <v>1123</v>
      </c>
      <c r="O63" s="5">
        <v>15.1</v>
      </c>
      <c r="P63" s="5">
        <v>250</v>
      </c>
      <c r="Q63" s="5">
        <v>3775</v>
      </c>
      <c r="R63" s="5" t="s">
        <v>1145</v>
      </c>
      <c r="S63" s="3" t="s">
        <v>193</v>
      </c>
      <c r="T63" s="3"/>
      <c r="U63" s="1"/>
    </row>
    <row r="64" spans="1:21" ht="16.899999999999999" x14ac:dyDescent="0.4">
      <c r="A64" s="62" t="s">
        <v>1147</v>
      </c>
      <c r="B64" s="2">
        <v>44195</v>
      </c>
      <c r="C64" s="1" t="s">
        <v>55</v>
      </c>
      <c r="D64" s="3" t="s">
        <v>194</v>
      </c>
      <c r="E64" s="2">
        <v>44303</v>
      </c>
      <c r="F64" s="3" t="s">
        <v>471</v>
      </c>
      <c r="G64" s="3" t="s">
        <v>356</v>
      </c>
      <c r="H64" s="32" t="s">
        <v>1124</v>
      </c>
      <c r="I64" s="3" t="s">
        <v>195</v>
      </c>
      <c r="K64" s="4" t="s">
        <v>196</v>
      </c>
      <c r="L64" s="58" t="s">
        <v>1161</v>
      </c>
      <c r="M64" s="4" t="s">
        <v>1159</v>
      </c>
      <c r="N64" s="58" t="s">
        <v>1123</v>
      </c>
      <c r="O64" s="5">
        <v>14</v>
      </c>
      <c r="P64" s="5">
        <v>250</v>
      </c>
      <c r="Q64" s="5">
        <v>27500</v>
      </c>
      <c r="R64" s="5" t="s">
        <v>1145</v>
      </c>
      <c r="S64" s="3" t="s">
        <v>197</v>
      </c>
      <c r="T64" s="3"/>
      <c r="U64" s="1"/>
    </row>
    <row r="65" spans="1:21" ht="16.899999999999999" x14ac:dyDescent="0.4">
      <c r="A65" s="62" t="s">
        <v>1147</v>
      </c>
      <c r="B65" s="2">
        <v>44203</v>
      </c>
      <c r="C65" s="1" t="s">
        <v>198</v>
      </c>
      <c r="D65" s="3" t="s">
        <v>199</v>
      </c>
      <c r="E65" s="2">
        <v>44316</v>
      </c>
      <c r="F65" s="3" t="s">
        <v>471</v>
      </c>
      <c r="G65" s="3" t="s">
        <v>356</v>
      </c>
      <c r="H65" s="32" t="s">
        <v>1124</v>
      </c>
      <c r="I65" s="3" t="s">
        <v>200</v>
      </c>
      <c r="J65" s="1" t="s">
        <v>201</v>
      </c>
      <c r="L65" s="58" t="s">
        <v>1161</v>
      </c>
      <c r="M65" s="4" t="s">
        <v>1151</v>
      </c>
      <c r="N65" s="58" t="s">
        <v>1123</v>
      </c>
      <c r="O65" s="5">
        <v>16.95</v>
      </c>
      <c r="P65" s="5">
        <v>100</v>
      </c>
      <c r="Q65" s="5">
        <v>1695</v>
      </c>
      <c r="R65" s="5" t="s">
        <v>1145</v>
      </c>
      <c r="S65" s="3" t="s">
        <v>202</v>
      </c>
      <c r="T65" s="3"/>
      <c r="U65" s="1"/>
    </row>
    <row r="66" spans="1:21" ht="16.899999999999999" x14ac:dyDescent="0.4">
      <c r="A66" s="62" t="s">
        <v>1147</v>
      </c>
      <c r="B66" s="2">
        <v>44217</v>
      </c>
      <c r="C66" s="1" t="s">
        <v>29</v>
      </c>
      <c r="E66" s="2">
        <v>44218</v>
      </c>
      <c r="F66" s="3" t="s">
        <v>203</v>
      </c>
      <c r="G66" s="3" t="s">
        <v>1125</v>
      </c>
      <c r="H66" s="32" t="s">
        <v>1130</v>
      </c>
      <c r="I66" s="3" t="s">
        <v>170</v>
      </c>
      <c r="J66" s="1" t="s">
        <v>70</v>
      </c>
      <c r="K66" s="4" t="s">
        <v>204</v>
      </c>
      <c r="L66" s="58" t="s">
        <v>1160</v>
      </c>
      <c r="M66" s="4" t="s">
        <v>1157</v>
      </c>
      <c r="N66" s="58" t="s">
        <v>1123</v>
      </c>
      <c r="O66" s="5">
        <v>13.5</v>
      </c>
      <c r="P66" s="5">
        <v>20</v>
      </c>
      <c r="Q66" s="5">
        <v>0</v>
      </c>
      <c r="R66" s="5" t="s">
        <v>1122</v>
      </c>
      <c r="S66" s="3" t="s">
        <v>205</v>
      </c>
      <c r="T66" s="3"/>
      <c r="U66" s="1"/>
    </row>
    <row r="67" spans="1:21" ht="16.899999999999999" x14ac:dyDescent="0.4">
      <c r="A67" s="62" t="s">
        <v>1147</v>
      </c>
      <c r="B67" s="2">
        <v>44218</v>
      </c>
      <c r="C67" s="1" t="s">
        <v>6</v>
      </c>
      <c r="D67" s="3" t="s">
        <v>206</v>
      </c>
      <c r="E67" s="2">
        <v>44338</v>
      </c>
      <c r="F67" s="3" t="s">
        <v>471</v>
      </c>
      <c r="G67" s="3" t="s">
        <v>1125</v>
      </c>
      <c r="H67" s="32" t="s">
        <v>1124</v>
      </c>
      <c r="I67" s="3" t="s">
        <v>62</v>
      </c>
      <c r="J67" s="1" t="s">
        <v>207</v>
      </c>
      <c r="K67" s="4">
        <v>4320003</v>
      </c>
      <c r="L67" s="58" t="s">
        <v>1161</v>
      </c>
      <c r="M67" s="4" t="s">
        <v>1155</v>
      </c>
      <c r="N67" s="58" t="s">
        <v>1123</v>
      </c>
      <c r="O67" s="5">
        <v>16.2</v>
      </c>
      <c r="P67" s="5">
        <v>200</v>
      </c>
      <c r="Q67" s="5">
        <v>3240</v>
      </c>
      <c r="R67" s="5" t="s">
        <v>1122</v>
      </c>
      <c r="S67" s="3" t="s">
        <v>208</v>
      </c>
      <c r="T67" s="3"/>
      <c r="U67" s="1"/>
    </row>
    <row r="68" spans="1:21" ht="16.899999999999999" x14ac:dyDescent="0.4">
      <c r="A68" s="62" t="s">
        <v>1147</v>
      </c>
      <c r="B68" s="2">
        <v>44223</v>
      </c>
      <c r="C68" s="1" t="s">
        <v>29</v>
      </c>
      <c r="D68" s="3" t="s">
        <v>209</v>
      </c>
      <c r="E68" s="2">
        <v>44260</v>
      </c>
      <c r="F68" s="3" t="s">
        <v>471</v>
      </c>
      <c r="G68" s="3" t="s">
        <v>1125</v>
      </c>
      <c r="H68" s="32" t="s">
        <v>1124</v>
      </c>
      <c r="I68" s="3" t="s">
        <v>57</v>
      </c>
      <c r="J68" s="1" t="s">
        <v>106</v>
      </c>
      <c r="K68" s="4" t="s">
        <v>210</v>
      </c>
      <c r="L68" s="58" t="s">
        <v>1161</v>
      </c>
      <c r="M68" s="4" t="s">
        <v>1157</v>
      </c>
      <c r="N68" s="58" t="s">
        <v>1123</v>
      </c>
      <c r="O68" s="5">
        <v>12.3</v>
      </c>
      <c r="P68" s="5">
        <v>200</v>
      </c>
      <c r="Q68" s="5">
        <v>2810</v>
      </c>
      <c r="R68" s="5" t="s">
        <v>1122</v>
      </c>
      <c r="S68" s="3" t="s">
        <v>211</v>
      </c>
      <c r="T68" s="3"/>
      <c r="U68" s="1"/>
    </row>
    <row r="69" spans="1:21" ht="16.899999999999999" x14ac:dyDescent="0.4">
      <c r="A69" s="62" t="s">
        <v>1147</v>
      </c>
      <c r="B69" s="2">
        <v>44228</v>
      </c>
      <c r="C69" s="1" t="s">
        <v>55</v>
      </c>
      <c r="D69" s="3" t="s">
        <v>212</v>
      </c>
      <c r="E69" s="2">
        <v>44305</v>
      </c>
      <c r="F69" s="3" t="s">
        <v>471</v>
      </c>
      <c r="G69" s="3" t="s">
        <v>356</v>
      </c>
      <c r="H69" s="32" t="s">
        <v>1124</v>
      </c>
      <c r="I69" s="3" t="s">
        <v>57</v>
      </c>
      <c r="J69" s="1" t="s">
        <v>214</v>
      </c>
      <c r="K69" s="4" t="s">
        <v>213</v>
      </c>
      <c r="L69" s="58" t="s">
        <v>1161</v>
      </c>
      <c r="M69" s="4" t="s">
        <v>1159</v>
      </c>
      <c r="N69" s="58" t="s">
        <v>1123</v>
      </c>
      <c r="O69" s="5">
        <v>11.7</v>
      </c>
      <c r="P69" s="5">
        <v>3000</v>
      </c>
      <c r="Q69" s="5">
        <v>35100</v>
      </c>
      <c r="R69" s="5" t="s">
        <v>1145</v>
      </c>
      <c r="S69" s="3" t="s">
        <v>215</v>
      </c>
      <c r="T69" s="3"/>
      <c r="U69" s="1"/>
    </row>
    <row r="70" spans="1:21" ht="16.899999999999999" x14ac:dyDescent="0.4">
      <c r="A70" s="62" t="s">
        <v>1147</v>
      </c>
      <c r="B70" s="2">
        <v>44236</v>
      </c>
      <c r="C70" s="1" t="s">
        <v>6</v>
      </c>
      <c r="D70" s="3" t="s">
        <v>216</v>
      </c>
      <c r="E70" s="2">
        <v>44338</v>
      </c>
      <c r="F70" s="3" t="s">
        <v>471</v>
      </c>
      <c r="G70" s="3" t="s">
        <v>1132</v>
      </c>
      <c r="H70" s="32" t="s">
        <v>1124</v>
      </c>
      <c r="I70" s="3" t="s">
        <v>57</v>
      </c>
      <c r="J70" s="1" t="s">
        <v>106</v>
      </c>
      <c r="K70" s="4">
        <v>1020434</v>
      </c>
      <c r="L70" s="58" t="s">
        <v>1161</v>
      </c>
      <c r="M70" s="4" t="s">
        <v>1155</v>
      </c>
      <c r="N70" s="58" t="s">
        <v>1123</v>
      </c>
      <c r="O70" s="5">
        <v>11.6</v>
      </c>
      <c r="P70" s="5">
        <v>500</v>
      </c>
      <c r="Q70" s="5">
        <v>5800</v>
      </c>
      <c r="R70" s="5" t="s">
        <v>1122</v>
      </c>
      <c r="S70" s="3" t="s">
        <v>217</v>
      </c>
      <c r="T70" s="3"/>
      <c r="U70" s="1"/>
    </row>
    <row r="71" spans="1:21" ht="16.899999999999999" x14ac:dyDescent="0.4">
      <c r="A71" s="62" t="s">
        <v>1147</v>
      </c>
      <c r="B71" s="2">
        <v>44260</v>
      </c>
      <c r="C71" s="1" t="s">
        <v>29</v>
      </c>
      <c r="D71" s="3" t="s">
        <v>218</v>
      </c>
      <c r="E71" s="2">
        <v>44336</v>
      </c>
      <c r="F71" s="3" t="s">
        <v>471</v>
      </c>
      <c r="G71" s="3" t="s">
        <v>285</v>
      </c>
      <c r="H71" s="32" t="s">
        <v>1124</v>
      </c>
      <c r="I71" s="3" t="s">
        <v>25</v>
      </c>
      <c r="J71" s="1" t="s">
        <v>70</v>
      </c>
      <c r="K71" s="4" t="s">
        <v>69</v>
      </c>
      <c r="L71" s="58" t="s">
        <v>1161</v>
      </c>
      <c r="M71" s="4" t="s">
        <v>1157</v>
      </c>
      <c r="N71" s="58" t="s">
        <v>1123</v>
      </c>
      <c r="O71" s="5">
        <v>10.9</v>
      </c>
      <c r="P71" s="5">
        <v>2000</v>
      </c>
      <c r="Q71" s="5">
        <v>21800</v>
      </c>
      <c r="R71" s="5" t="s">
        <v>1122</v>
      </c>
      <c r="S71" s="3" t="s">
        <v>219</v>
      </c>
      <c r="T71" s="3"/>
      <c r="U71" s="1"/>
    </row>
    <row r="72" spans="1:21" ht="16.899999999999999" x14ac:dyDescent="0.4">
      <c r="A72" s="62" t="s">
        <v>1147</v>
      </c>
      <c r="B72" s="2">
        <v>44260</v>
      </c>
      <c r="C72" s="1" t="s">
        <v>29</v>
      </c>
      <c r="D72" s="3" t="s">
        <v>218</v>
      </c>
      <c r="E72" s="2">
        <v>44336</v>
      </c>
      <c r="F72" s="3" t="s">
        <v>471</v>
      </c>
      <c r="G72" s="3" t="s">
        <v>285</v>
      </c>
      <c r="H72" s="32" t="s">
        <v>1124</v>
      </c>
      <c r="I72" s="3" t="s">
        <v>31</v>
      </c>
      <c r="J72" s="1" t="s">
        <v>70</v>
      </c>
      <c r="K72" s="4" t="s">
        <v>151</v>
      </c>
      <c r="L72" s="58" t="s">
        <v>1160</v>
      </c>
      <c r="M72" s="4" t="s">
        <v>1157</v>
      </c>
      <c r="N72" s="58" t="s">
        <v>1123</v>
      </c>
      <c r="O72" s="5">
        <v>12</v>
      </c>
      <c r="P72" s="5">
        <v>450</v>
      </c>
      <c r="Q72" s="5">
        <v>5400</v>
      </c>
      <c r="R72" s="5" t="s">
        <v>1122</v>
      </c>
      <c r="S72" s="3" t="s">
        <v>220</v>
      </c>
      <c r="T72" s="3"/>
      <c r="U72" s="1"/>
    </row>
    <row r="73" spans="1:21" ht="16.899999999999999" x14ac:dyDescent="0.4">
      <c r="A73" s="62" t="s">
        <v>1147</v>
      </c>
      <c r="B73" s="2">
        <v>44265</v>
      </c>
      <c r="C73" s="1" t="s">
        <v>120</v>
      </c>
      <c r="E73" s="2">
        <v>44280</v>
      </c>
      <c r="F73" s="3" t="s">
        <v>221</v>
      </c>
      <c r="G73" s="3" t="s">
        <v>356</v>
      </c>
      <c r="H73" s="32" t="s">
        <v>1130</v>
      </c>
      <c r="I73" s="3" t="s">
        <v>95</v>
      </c>
      <c r="J73" s="1" t="s">
        <v>222</v>
      </c>
      <c r="L73" s="58" t="s">
        <v>1160</v>
      </c>
      <c r="M73" s="58" t="s">
        <v>1150</v>
      </c>
      <c r="N73" s="58" t="s">
        <v>1123</v>
      </c>
      <c r="O73" s="5">
        <v>3.9</v>
      </c>
      <c r="P73" s="5">
        <v>200</v>
      </c>
      <c r="Q73" s="5">
        <v>780</v>
      </c>
      <c r="R73" s="5" t="s">
        <v>1145</v>
      </c>
      <c r="T73" s="3"/>
      <c r="U73" s="1"/>
    </row>
    <row r="74" spans="1:21" ht="16.899999999999999" x14ac:dyDescent="0.4">
      <c r="A74" s="62" t="s">
        <v>1147</v>
      </c>
      <c r="B74" s="2">
        <v>44266</v>
      </c>
      <c r="C74" s="1" t="s">
        <v>6</v>
      </c>
      <c r="D74" s="3" t="s">
        <v>216</v>
      </c>
      <c r="E74" s="2">
        <v>44338</v>
      </c>
      <c r="F74" s="3" t="s">
        <v>471</v>
      </c>
      <c r="G74" s="3" t="s">
        <v>1132</v>
      </c>
      <c r="H74" s="32" t="s">
        <v>1124</v>
      </c>
      <c r="I74" s="3" t="s">
        <v>57</v>
      </c>
      <c r="J74" s="1" t="s">
        <v>106</v>
      </c>
      <c r="K74" s="4">
        <v>1020434</v>
      </c>
      <c r="L74" s="58" t="s">
        <v>1161</v>
      </c>
      <c r="M74" s="4" t="s">
        <v>1155</v>
      </c>
      <c r="N74" s="58" t="s">
        <v>1123</v>
      </c>
      <c r="O74" s="5">
        <v>11.6</v>
      </c>
      <c r="P74" s="5">
        <v>100</v>
      </c>
      <c r="Q74" s="5">
        <v>1160</v>
      </c>
      <c r="R74" s="5" t="s">
        <v>1122</v>
      </c>
      <c r="S74" s="3" t="s">
        <v>223</v>
      </c>
      <c r="T74" s="3"/>
      <c r="U74" s="1"/>
    </row>
    <row r="75" spans="1:21" ht="16.899999999999999" x14ac:dyDescent="0.4">
      <c r="A75" s="62" t="s">
        <v>1147</v>
      </c>
      <c r="B75" s="2">
        <v>44274</v>
      </c>
      <c r="C75" s="1" t="s">
        <v>29</v>
      </c>
      <c r="D75" s="3" t="s">
        <v>224</v>
      </c>
      <c r="E75" s="2">
        <v>44336</v>
      </c>
      <c r="F75" s="3" t="s">
        <v>471</v>
      </c>
      <c r="G75" s="3" t="s">
        <v>81</v>
      </c>
      <c r="H75" s="32" t="s">
        <v>1124</v>
      </c>
      <c r="I75" s="3" t="s">
        <v>57</v>
      </c>
      <c r="J75" s="1" t="s">
        <v>118</v>
      </c>
      <c r="K75" s="4" t="s">
        <v>225</v>
      </c>
      <c r="L75" s="58" t="s">
        <v>1161</v>
      </c>
      <c r="M75" s="4" t="s">
        <v>1157</v>
      </c>
      <c r="N75" s="58" t="s">
        <v>1123</v>
      </c>
      <c r="O75" s="5">
        <v>11.9</v>
      </c>
      <c r="P75" s="5">
        <v>1000</v>
      </c>
      <c r="Q75" s="5">
        <v>11900</v>
      </c>
      <c r="R75" s="5" t="s">
        <v>1122</v>
      </c>
      <c r="S75" s="3" t="s">
        <v>226</v>
      </c>
      <c r="T75" s="3"/>
      <c r="U75" s="1"/>
    </row>
    <row r="76" spans="1:21" ht="16.899999999999999" x14ac:dyDescent="0.4">
      <c r="A76" s="62" t="s">
        <v>1147</v>
      </c>
      <c r="B76" s="2">
        <v>44286</v>
      </c>
      <c r="C76" s="1" t="s">
        <v>29</v>
      </c>
      <c r="D76" s="3" t="s">
        <v>227</v>
      </c>
      <c r="E76" s="2">
        <v>44368</v>
      </c>
      <c r="F76" s="3" t="s">
        <v>471</v>
      </c>
      <c r="G76" s="3" t="s">
        <v>81</v>
      </c>
      <c r="H76" s="32" t="s">
        <v>1124</v>
      </c>
      <c r="I76" s="3" t="s">
        <v>25</v>
      </c>
      <c r="J76" s="1" t="s">
        <v>83</v>
      </c>
      <c r="K76" s="4" t="s">
        <v>82</v>
      </c>
      <c r="L76" s="58" t="s">
        <v>1161</v>
      </c>
      <c r="M76" s="4" t="s">
        <v>1157</v>
      </c>
      <c r="N76" s="58" t="s">
        <v>1123</v>
      </c>
      <c r="O76" s="5">
        <v>10.9</v>
      </c>
      <c r="P76" s="5">
        <v>2000</v>
      </c>
      <c r="Q76" s="5">
        <v>21800</v>
      </c>
      <c r="R76" s="5" t="s">
        <v>1122</v>
      </c>
      <c r="S76" s="3" t="s">
        <v>228</v>
      </c>
      <c r="T76" s="3"/>
      <c r="U76" s="1"/>
    </row>
    <row r="77" spans="1:21" ht="16.899999999999999" x14ac:dyDescent="0.4">
      <c r="A77" s="62" t="s">
        <v>1147</v>
      </c>
      <c r="B77" s="2">
        <v>44287</v>
      </c>
      <c r="C77" s="1" t="s">
        <v>98</v>
      </c>
      <c r="D77" s="3" t="s">
        <v>229</v>
      </c>
      <c r="E77" s="2">
        <v>44428</v>
      </c>
      <c r="F77" s="3" t="s">
        <v>471</v>
      </c>
      <c r="G77" s="3" t="s">
        <v>356</v>
      </c>
      <c r="H77" s="32" t="s">
        <v>1124</v>
      </c>
      <c r="I77" s="3" t="s">
        <v>230</v>
      </c>
      <c r="J77" s="1" t="s">
        <v>232</v>
      </c>
      <c r="K77" s="4" t="s">
        <v>231</v>
      </c>
      <c r="L77" s="58" t="s">
        <v>1161</v>
      </c>
      <c r="M77" s="4" t="s">
        <v>1152</v>
      </c>
      <c r="N77" s="58" t="s">
        <v>1123</v>
      </c>
      <c r="O77" s="5">
        <v>19.8</v>
      </c>
      <c r="P77" s="5">
        <v>500</v>
      </c>
      <c r="Q77" s="5">
        <v>9900</v>
      </c>
      <c r="R77" s="5" t="s">
        <v>1122</v>
      </c>
      <c r="S77" s="3" t="s">
        <v>233</v>
      </c>
      <c r="T77" s="3"/>
      <c r="U77" s="1"/>
    </row>
    <row r="78" spans="1:21" ht="16.899999999999999" x14ac:dyDescent="0.4">
      <c r="A78" s="62" t="s">
        <v>1147</v>
      </c>
      <c r="B78" s="2">
        <v>44306</v>
      </c>
      <c r="C78" s="1" t="s">
        <v>29</v>
      </c>
      <c r="D78" s="3" t="s">
        <v>234</v>
      </c>
      <c r="E78" s="2">
        <v>44400</v>
      </c>
      <c r="F78" s="3" t="s">
        <v>471</v>
      </c>
      <c r="G78" s="3" t="s">
        <v>81</v>
      </c>
      <c r="H78" s="32" t="s">
        <v>1124</v>
      </c>
      <c r="I78" s="3" t="s">
        <v>235</v>
      </c>
      <c r="L78" s="58" t="s">
        <v>1160</v>
      </c>
      <c r="M78" s="58" t="s">
        <v>1150</v>
      </c>
      <c r="N78" s="58" t="s">
        <v>1123</v>
      </c>
      <c r="O78" s="5">
        <v>43460</v>
      </c>
      <c r="P78" s="5">
        <v>1</v>
      </c>
      <c r="Q78" s="5">
        <v>43460</v>
      </c>
      <c r="R78" s="5" t="s">
        <v>1122</v>
      </c>
      <c r="S78" s="3" t="s">
        <v>236</v>
      </c>
      <c r="T78" s="3"/>
      <c r="U78" s="1"/>
    </row>
    <row r="79" spans="1:21" ht="16.899999999999999" x14ac:dyDescent="0.4">
      <c r="A79" s="62" t="s">
        <v>1147</v>
      </c>
      <c r="B79" s="2">
        <v>44310</v>
      </c>
      <c r="C79" s="1" t="s">
        <v>237</v>
      </c>
      <c r="D79" s="3" t="s">
        <v>238</v>
      </c>
      <c r="E79" s="2">
        <v>44356</v>
      </c>
      <c r="F79" s="3" t="s">
        <v>649</v>
      </c>
      <c r="G79" s="3" t="s">
        <v>356</v>
      </c>
      <c r="H79" s="32" t="s">
        <v>1124</v>
      </c>
      <c r="I79" s="3" t="s">
        <v>25</v>
      </c>
      <c r="J79" s="1" t="s">
        <v>83</v>
      </c>
      <c r="K79" s="4" t="s">
        <v>58</v>
      </c>
      <c r="L79" s="58" t="s">
        <v>1161</v>
      </c>
      <c r="M79" s="4" t="s">
        <v>1151</v>
      </c>
      <c r="N79" s="58" t="s">
        <v>1123</v>
      </c>
      <c r="O79" s="5">
        <v>112</v>
      </c>
      <c r="P79" s="5">
        <v>500</v>
      </c>
      <c r="Q79" s="5">
        <v>56000</v>
      </c>
      <c r="R79" s="5" t="s">
        <v>1146</v>
      </c>
      <c r="S79" s="3" t="s">
        <v>1131</v>
      </c>
      <c r="T79" s="3"/>
      <c r="U79" s="1"/>
    </row>
    <row r="80" spans="1:21" ht="16.899999999999999" x14ac:dyDescent="0.4">
      <c r="A80" s="62" t="s">
        <v>1147</v>
      </c>
      <c r="B80" s="2">
        <v>44321</v>
      </c>
      <c r="C80" s="1" t="s">
        <v>29</v>
      </c>
      <c r="D80" s="3" t="s">
        <v>240</v>
      </c>
      <c r="E80" s="2">
        <v>44368</v>
      </c>
      <c r="F80" s="3" t="s">
        <v>471</v>
      </c>
      <c r="G80" s="3" t="s">
        <v>81</v>
      </c>
      <c r="H80" s="32" t="s">
        <v>1124</v>
      </c>
      <c r="I80" s="3" t="s">
        <v>25</v>
      </c>
      <c r="J80" s="1" t="s">
        <v>70</v>
      </c>
      <c r="K80" s="4" t="s">
        <v>69</v>
      </c>
      <c r="L80" s="58" t="s">
        <v>1161</v>
      </c>
      <c r="M80" s="4" t="s">
        <v>1157</v>
      </c>
      <c r="N80" s="58" t="s">
        <v>1123</v>
      </c>
      <c r="O80" s="5">
        <v>10.9</v>
      </c>
      <c r="P80" s="5">
        <v>200</v>
      </c>
      <c r="Q80" s="5">
        <v>2180</v>
      </c>
      <c r="R80" s="5" t="s">
        <v>1122</v>
      </c>
      <c r="S80" s="3" t="s">
        <v>241</v>
      </c>
      <c r="T80" s="3"/>
      <c r="U80" s="1"/>
    </row>
    <row r="81" spans="1:21" ht="16.899999999999999" x14ac:dyDescent="0.4">
      <c r="A81" s="62" t="s">
        <v>1147</v>
      </c>
      <c r="B81" s="2">
        <v>44323</v>
      </c>
      <c r="C81" s="1" t="s">
        <v>242</v>
      </c>
      <c r="D81" s="3" t="s">
        <v>243</v>
      </c>
      <c r="E81" s="2">
        <v>44445</v>
      </c>
      <c r="F81" s="3" t="s">
        <v>471</v>
      </c>
      <c r="G81" s="3" t="s">
        <v>1143</v>
      </c>
      <c r="H81" s="32" t="s">
        <v>1124</v>
      </c>
      <c r="I81" s="3" t="s">
        <v>25</v>
      </c>
      <c r="J81" s="1" t="s">
        <v>245</v>
      </c>
      <c r="K81" s="4" t="s">
        <v>244</v>
      </c>
      <c r="L81" s="58" t="s">
        <v>1161</v>
      </c>
      <c r="M81" s="4" t="s">
        <v>1151</v>
      </c>
      <c r="N81" s="58" t="s">
        <v>1123</v>
      </c>
      <c r="O81" s="5">
        <v>18.93</v>
      </c>
      <c r="P81" s="5">
        <v>4000</v>
      </c>
      <c r="Q81" s="5">
        <v>75720</v>
      </c>
      <c r="R81" s="5" t="s">
        <v>1145</v>
      </c>
      <c r="S81" s="3" t="s">
        <v>246</v>
      </c>
      <c r="T81" s="3"/>
      <c r="U81" s="1"/>
    </row>
    <row r="82" spans="1:21" ht="16.899999999999999" x14ac:dyDescent="0.4">
      <c r="A82" s="62" t="s">
        <v>1147</v>
      </c>
      <c r="B82" s="2">
        <v>44326</v>
      </c>
      <c r="C82" s="1" t="s">
        <v>29</v>
      </c>
      <c r="D82" s="3" t="s">
        <v>247</v>
      </c>
      <c r="E82" s="2">
        <v>44368</v>
      </c>
      <c r="F82" s="3" t="s">
        <v>471</v>
      </c>
      <c r="G82" s="3" t="s">
        <v>81</v>
      </c>
      <c r="H82" s="32" t="s">
        <v>1124</v>
      </c>
      <c r="I82" s="3" t="s">
        <v>25</v>
      </c>
      <c r="J82" s="1" t="s">
        <v>70</v>
      </c>
      <c r="K82" s="4" t="s">
        <v>69</v>
      </c>
      <c r="L82" s="58" t="s">
        <v>1161</v>
      </c>
      <c r="M82" s="4" t="s">
        <v>1157</v>
      </c>
      <c r="N82" s="58" t="s">
        <v>1123</v>
      </c>
      <c r="O82" s="5">
        <v>10.9</v>
      </c>
      <c r="P82" s="5">
        <v>3650</v>
      </c>
      <c r="Q82" s="5">
        <v>39785</v>
      </c>
      <c r="R82" s="5" t="s">
        <v>1122</v>
      </c>
      <c r="S82" s="3" t="s">
        <v>248</v>
      </c>
      <c r="T82" s="3"/>
      <c r="U82" s="1"/>
    </row>
    <row r="83" spans="1:21" ht="16.899999999999999" x14ac:dyDescent="0.4">
      <c r="A83" s="62" t="s">
        <v>1147</v>
      </c>
      <c r="B83" s="2">
        <v>44327</v>
      </c>
      <c r="C83" s="1" t="s">
        <v>0</v>
      </c>
      <c r="D83" s="3" t="s">
        <v>249</v>
      </c>
      <c r="E83" s="2">
        <v>44418</v>
      </c>
      <c r="F83" s="3" t="s">
        <v>471</v>
      </c>
      <c r="G83" s="3" t="s">
        <v>356</v>
      </c>
      <c r="H83" s="32" t="s">
        <v>1124</v>
      </c>
      <c r="I83" s="3" t="s">
        <v>2</v>
      </c>
      <c r="J83" s="1" t="s">
        <v>134</v>
      </c>
      <c r="K83" s="4" t="s">
        <v>250</v>
      </c>
      <c r="L83" s="58" t="s">
        <v>1161</v>
      </c>
      <c r="M83" s="4" t="s">
        <v>1158</v>
      </c>
      <c r="N83" s="58" t="s">
        <v>1123</v>
      </c>
      <c r="O83" s="5">
        <v>17.399999999999999</v>
      </c>
      <c r="P83" s="5">
        <v>3400</v>
      </c>
      <c r="Q83" s="5">
        <v>59159.999999999993</v>
      </c>
      <c r="R83" s="5" t="s">
        <v>1145</v>
      </c>
      <c r="S83" s="3" t="s">
        <v>251</v>
      </c>
      <c r="T83" s="3"/>
      <c r="U83" s="1"/>
    </row>
    <row r="84" spans="1:21" ht="16.899999999999999" x14ac:dyDescent="0.4">
      <c r="A84" s="62" t="s">
        <v>1147</v>
      </c>
      <c r="B84" s="2">
        <v>44334</v>
      </c>
      <c r="C84" s="1" t="s">
        <v>242</v>
      </c>
      <c r="D84" s="3" t="s">
        <v>252</v>
      </c>
      <c r="E84" s="2">
        <v>44535</v>
      </c>
      <c r="F84" s="3" t="s">
        <v>471</v>
      </c>
      <c r="G84" s="3" t="s">
        <v>1143</v>
      </c>
      <c r="H84" s="32" t="s">
        <v>1124</v>
      </c>
      <c r="I84" s="3" t="s">
        <v>253</v>
      </c>
      <c r="M84" s="58" t="s">
        <v>1150</v>
      </c>
      <c r="N84" s="58" t="s">
        <v>1123</v>
      </c>
      <c r="O84" s="5">
        <v>180402</v>
      </c>
      <c r="P84" s="5">
        <v>1</v>
      </c>
      <c r="Q84" s="5">
        <v>180402</v>
      </c>
      <c r="R84" s="5" t="s">
        <v>1146</v>
      </c>
      <c r="T84" s="3"/>
      <c r="U84" s="1"/>
    </row>
    <row r="85" spans="1:21" ht="16.899999999999999" x14ac:dyDescent="0.4">
      <c r="A85" s="62" t="s">
        <v>1147</v>
      </c>
      <c r="B85" s="2">
        <v>44354</v>
      </c>
      <c r="C85" s="1" t="s">
        <v>98</v>
      </c>
      <c r="D85" s="3" t="s">
        <v>254</v>
      </c>
      <c r="E85" s="2">
        <v>44428</v>
      </c>
      <c r="F85" s="3" t="s">
        <v>471</v>
      </c>
      <c r="G85" s="3" t="s">
        <v>356</v>
      </c>
      <c r="H85" s="32" t="s">
        <v>1124</v>
      </c>
      <c r="I85" s="3" t="s">
        <v>57</v>
      </c>
      <c r="J85" s="1" t="s">
        <v>256</v>
      </c>
      <c r="K85" s="4" t="s">
        <v>255</v>
      </c>
      <c r="L85" s="58" t="s">
        <v>1161</v>
      </c>
      <c r="M85" s="4" t="s">
        <v>1152</v>
      </c>
      <c r="N85" s="58" t="s">
        <v>1123</v>
      </c>
      <c r="O85" s="5">
        <v>19.8</v>
      </c>
      <c r="P85" s="5">
        <v>500</v>
      </c>
      <c r="Q85" s="5">
        <v>9900</v>
      </c>
      <c r="R85" s="5" t="s">
        <v>1122</v>
      </c>
      <c r="S85" s="3" t="s">
        <v>257</v>
      </c>
      <c r="T85" s="3"/>
      <c r="U85" s="1"/>
    </row>
    <row r="86" spans="1:21" ht="16.899999999999999" x14ac:dyDescent="0.4">
      <c r="A86" s="62" t="s">
        <v>1147</v>
      </c>
      <c r="B86" s="2">
        <v>44364</v>
      </c>
      <c r="C86" s="1" t="s">
        <v>29</v>
      </c>
      <c r="D86" s="3" t="s">
        <v>258</v>
      </c>
      <c r="E86" s="2">
        <v>44400</v>
      </c>
      <c r="F86" s="3" t="s">
        <v>471</v>
      </c>
      <c r="G86" s="3" t="s">
        <v>81</v>
      </c>
      <c r="H86" s="32" t="s">
        <v>1124</v>
      </c>
      <c r="I86" s="3" t="s">
        <v>57</v>
      </c>
      <c r="J86" s="1" t="s">
        <v>260</v>
      </c>
      <c r="K86" s="4" t="s">
        <v>259</v>
      </c>
      <c r="L86" s="58" t="s">
        <v>1161</v>
      </c>
      <c r="M86" s="4" t="s">
        <v>1157</v>
      </c>
      <c r="N86" s="58" t="s">
        <v>1123</v>
      </c>
      <c r="O86" s="5">
        <v>8</v>
      </c>
      <c r="P86" s="5">
        <v>20</v>
      </c>
      <c r="Q86" s="5">
        <v>160</v>
      </c>
      <c r="R86" s="5" t="s">
        <v>1122</v>
      </c>
      <c r="S86" s="3" t="s">
        <v>261</v>
      </c>
      <c r="T86" s="3"/>
      <c r="U86" s="1"/>
    </row>
    <row r="87" spans="1:21" ht="16.899999999999999" x14ac:dyDescent="0.4">
      <c r="A87" s="62" t="s">
        <v>1147</v>
      </c>
      <c r="B87" s="2">
        <v>44369</v>
      </c>
      <c r="C87" s="1" t="s">
        <v>6</v>
      </c>
      <c r="D87" s="3" t="s">
        <v>262</v>
      </c>
      <c r="E87" s="2">
        <v>44392</v>
      </c>
      <c r="F87" s="3" t="s">
        <v>471</v>
      </c>
      <c r="G87" s="3" t="s">
        <v>1132</v>
      </c>
      <c r="H87" s="32" t="s">
        <v>1124</v>
      </c>
      <c r="I87" s="3" t="s">
        <v>57</v>
      </c>
      <c r="J87" s="1" t="s">
        <v>106</v>
      </c>
      <c r="K87" s="4">
        <v>1020434</v>
      </c>
      <c r="L87" s="58" t="s">
        <v>1161</v>
      </c>
      <c r="M87" s="4" t="s">
        <v>1155</v>
      </c>
      <c r="N87" s="58" t="s">
        <v>1123</v>
      </c>
      <c r="O87" s="5">
        <v>11.6</v>
      </c>
      <c r="P87" s="5">
        <v>200</v>
      </c>
      <c r="Q87" s="5">
        <v>2320</v>
      </c>
      <c r="R87" s="5" t="s">
        <v>1122</v>
      </c>
      <c r="S87" s="3" t="s">
        <v>263</v>
      </c>
      <c r="T87" s="3"/>
      <c r="U87" s="1"/>
    </row>
    <row r="88" spans="1:21" ht="16.899999999999999" x14ac:dyDescent="0.4">
      <c r="A88" s="62" t="s">
        <v>1147</v>
      </c>
      <c r="B88" s="2">
        <v>44371</v>
      </c>
      <c r="C88" s="1" t="s">
        <v>242</v>
      </c>
      <c r="D88" s="3" t="s">
        <v>264</v>
      </c>
      <c r="E88" s="2">
        <v>44375</v>
      </c>
      <c r="F88" s="3" t="s">
        <v>471</v>
      </c>
      <c r="G88" s="3" t="s">
        <v>356</v>
      </c>
      <c r="H88" s="32" t="s">
        <v>1124</v>
      </c>
      <c r="I88" s="3" t="s">
        <v>265</v>
      </c>
      <c r="M88" s="58" t="s">
        <v>1150</v>
      </c>
      <c r="N88" s="58" t="s">
        <v>1123</v>
      </c>
      <c r="O88" s="5">
        <v>1</v>
      </c>
      <c r="P88" s="5">
        <v>60</v>
      </c>
      <c r="Q88" s="5">
        <v>525</v>
      </c>
      <c r="R88" s="5" t="s">
        <v>1146</v>
      </c>
      <c r="T88" s="3"/>
      <c r="U88" s="1"/>
    </row>
    <row r="89" spans="1:21" ht="16.899999999999999" x14ac:dyDescent="0.4">
      <c r="A89" s="62" t="s">
        <v>1147</v>
      </c>
      <c r="B89" s="2">
        <v>44376</v>
      </c>
      <c r="C89" s="1" t="s">
        <v>29</v>
      </c>
      <c r="D89" s="3" t="s">
        <v>266</v>
      </c>
      <c r="E89" s="2">
        <v>44447</v>
      </c>
      <c r="F89" s="3" t="s">
        <v>471</v>
      </c>
      <c r="G89" s="3" t="s">
        <v>81</v>
      </c>
      <c r="H89" s="32" t="s">
        <v>1124</v>
      </c>
      <c r="I89" s="3" t="s">
        <v>25</v>
      </c>
      <c r="J89" s="1" t="s">
        <v>41</v>
      </c>
      <c r="K89" s="4" t="s">
        <v>181</v>
      </c>
      <c r="L89" s="58" t="s">
        <v>1161</v>
      </c>
      <c r="M89" s="4" t="s">
        <v>1157</v>
      </c>
      <c r="N89" s="58" t="s">
        <v>1123</v>
      </c>
      <c r="O89" s="5">
        <v>10.95</v>
      </c>
      <c r="P89" s="5">
        <v>3500</v>
      </c>
      <c r="Q89" s="5">
        <v>38325</v>
      </c>
      <c r="R89" s="5" t="s">
        <v>1122</v>
      </c>
      <c r="S89" s="3" t="s">
        <v>267</v>
      </c>
      <c r="T89" s="3"/>
      <c r="U89" s="1"/>
    </row>
    <row r="90" spans="1:21" ht="16.899999999999999" x14ac:dyDescent="0.4">
      <c r="A90" s="62" t="s">
        <v>1147</v>
      </c>
      <c r="B90" s="2">
        <v>44376</v>
      </c>
      <c r="C90" s="1" t="s">
        <v>29</v>
      </c>
      <c r="D90" s="3" t="s">
        <v>266</v>
      </c>
      <c r="E90" s="2">
        <v>44447</v>
      </c>
      <c r="F90" s="3" t="s">
        <v>471</v>
      </c>
      <c r="G90" s="3" t="s">
        <v>81</v>
      </c>
      <c r="H90" s="32" t="s">
        <v>1124</v>
      </c>
      <c r="I90" s="3" t="s">
        <v>25</v>
      </c>
      <c r="J90" s="1" t="s">
        <v>70</v>
      </c>
      <c r="K90" s="4" t="s">
        <v>268</v>
      </c>
      <c r="L90" s="58" t="s">
        <v>1161</v>
      </c>
      <c r="M90" s="4" t="s">
        <v>1157</v>
      </c>
      <c r="N90" s="58" t="s">
        <v>1123</v>
      </c>
      <c r="O90" s="5">
        <v>11.2</v>
      </c>
      <c r="P90" s="5">
        <v>1500</v>
      </c>
      <c r="Q90" s="5">
        <v>16800</v>
      </c>
      <c r="R90" s="5" t="s">
        <v>1122</v>
      </c>
      <c r="S90" s="3" t="s">
        <v>269</v>
      </c>
      <c r="T90" s="3"/>
      <c r="U90" s="1"/>
    </row>
    <row r="91" spans="1:21" ht="16.899999999999999" x14ac:dyDescent="0.4">
      <c r="A91" s="62" t="s">
        <v>1147</v>
      </c>
      <c r="B91" s="2">
        <v>44376</v>
      </c>
      <c r="C91" s="1" t="s">
        <v>29</v>
      </c>
      <c r="D91" s="3" t="s">
        <v>270</v>
      </c>
      <c r="E91" s="2">
        <v>44447</v>
      </c>
      <c r="F91" s="3" t="s">
        <v>471</v>
      </c>
      <c r="G91" s="3" t="s">
        <v>81</v>
      </c>
      <c r="H91" s="32" t="s">
        <v>1124</v>
      </c>
      <c r="I91" s="3" t="s">
        <v>25</v>
      </c>
      <c r="J91" s="1" t="s">
        <v>70</v>
      </c>
      <c r="K91" s="4" t="s">
        <v>137</v>
      </c>
      <c r="L91" s="58" t="s">
        <v>1161</v>
      </c>
      <c r="M91" s="4" t="s">
        <v>1157</v>
      </c>
      <c r="N91" s="58" t="s">
        <v>1123</v>
      </c>
      <c r="O91" s="5">
        <v>11.5</v>
      </c>
      <c r="P91" s="5">
        <v>200</v>
      </c>
      <c r="Q91" s="5">
        <v>2300</v>
      </c>
      <c r="R91" s="5" t="s">
        <v>1122</v>
      </c>
      <c r="S91" s="3" t="s">
        <v>271</v>
      </c>
      <c r="T91" s="3"/>
      <c r="U91" s="1"/>
    </row>
    <row r="92" spans="1:21" ht="16.899999999999999" x14ac:dyDescent="0.4">
      <c r="A92" s="62" t="s">
        <v>1147</v>
      </c>
      <c r="B92" s="2">
        <v>44379</v>
      </c>
      <c r="C92" s="1" t="s">
        <v>29</v>
      </c>
      <c r="D92" s="3" t="s">
        <v>272</v>
      </c>
      <c r="E92" s="2">
        <v>44428</v>
      </c>
      <c r="F92" s="3" t="s">
        <v>471</v>
      </c>
      <c r="G92" s="3" t="s">
        <v>81</v>
      </c>
      <c r="H92" s="32" t="s">
        <v>1124</v>
      </c>
      <c r="I92" s="3" t="s">
        <v>25</v>
      </c>
      <c r="J92" s="1" t="s">
        <v>83</v>
      </c>
      <c r="K92" s="4" t="s">
        <v>82</v>
      </c>
      <c r="L92" s="58" t="s">
        <v>1161</v>
      </c>
      <c r="M92" s="4" t="s">
        <v>1157</v>
      </c>
      <c r="N92" s="58" t="s">
        <v>1123</v>
      </c>
      <c r="O92" s="5">
        <v>10.9</v>
      </c>
      <c r="P92" s="5">
        <v>1000</v>
      </c>
      <c r="Q92" s="5">
        <v>10900</v>
      </c>
      <c r="R92" s="5" t="s">
        <v>1122</v>
      </c>
      <c r="S92" s="3" t="s">
        <v>273</v>
      </c>
      <c r="T92" s="3"/>
      <c r="U92" s="1"/>
    </row>
    <row r="93" spans="1:21" ht="16.899999999999999" x14ac:dyDescent="0.4">
      <c r="A93" s="62" t="s">
        <v>1147</v>
      </c>
      <c r="B93" s="2">
        <v>44392</v>
      </c>
      <c r="C93" s="1" t="s">
        <v>29</v>
      </c>
      <c r="D93" s="3" t="s">
        <v>274</v>
      </c>
      <c r="E93" s="2">
        <v>44463</v>
      </c>
      <c r="F93" s="3" t="s">
        <v>471</v>
      </c>
      <c r="G93" s="3" t="s">
        <v>81</v>
      </c>
      <c r="H93" s="32" t="s">
        <v>1124</v>
      </c>
      <c r="I93" s="3" t="s">
        <v>57</v>
      </c>
      <c r="J93" s="1" t="s">
        <v>118</v>
      </c>
      <c r="K93" s="4" t="s">
        <v>225</v>
      </c>
      <c r="L93" s="58" t="s">
        <v>1161</v>
      </c>
      <c r="M93" s="4" t="s">
        <v>1157</v>
      </c>
      <c r="N93" s="58" t="s">
        <v>1123</v>
      </c>
      <c r="O93" s="5">
        <v>11.9</v>
      </c>
      <c r="P93" s="5">
        <v>2000</v>
      </c>
      <c r="Q93" s="5">
        <v>23800</v>
      </c>
      <c r="R93" s="5" t="s">
        <v>1122</v>
      </c>
      <c r="S93" s="3" t="s">
        <v>275</v>
      </c>
      <c r="T93" s="3"/>
      <c r="U93" s="1"/>
    </row>
    <row r="94" spans="1:21" ht="16.899999999999999" x14ac:dyDescent="0.4">
      <c r="A94" s="62" t="s">
        <v>1147</v>
      </c>
      <c r="B94" s="2">
        <v>44392</v>
      </c>
      <c r="C94" s="1" t="s">
        <v>160</v>
      </c>
      <c r="D94" s="3" t="s">
        <v>276</v>
      </c>
      <c r="E94" s="2">
        <v>44451</v>
      </c>
      <c r="F94" s="3" t="s">
        <v>471</v>
      </c>
      <c r="G94" s="3" t="s">
        <v>1125</v>
      </c>
      <c r="H94" s="32" t="s">
        <v>1124</v>
      </c>
      <c r="I94" s="3" t="s">
        <v>57</v>
      </c>
      <c r="J94" s="1" t="s">
        <v>163</v>
      </c>
      <c r="K94" s="4" t="s">
        <v>162</v>
      </c>
      <c r="L94" s="58" t="s">
        <v>1161</v>
      </c>
      <c r="M94" s="4" t="s">
        <v>1151</v>
      </c>
      <c r="N94" s="58" t="s">
        <v>1123</v>
      </c>
      <c r="O94" s="5">
        <v>18.3</v>
      </c>
      <c r="P94" s="5">
        <v>200</v>
      </c>
      <c r="Q94" s="5">
        <v>3660</v>
      </c>
      <c r="R94" s="5" t="s">
        <v>1145</v>
      </c>
      <c r="S94" s="3" t="s">
        <v>277</v>
      </c>
      <c r="T94" s="3"/>
      <c r="U94" s="1"/>
    </row>
    <row r="95" spans="1:21" ht="16.899999999999999" x14ac:dyDescent="0.4">
      <c r="A95" s="62" t="s">
        <v>1147</v>
      </c>
      <c r="B95" s="2">
        <v>44406</v>
      </c>
      <c r="C95" s="1" t="s">
        <v>29</v>
      </c>
      <c r="D95" s="3" t="s">
        <v>278</v>
      </c>
      <c r="E95" s="2">
        <v>44449</v>
      </c>
      <c r="F95" s="3" t="s">
        <v>471</v>
      </c>
      <c r="G95" s="3" t="s">
        <v>81</v>
      </c>
      <c r="H95" s="32" t="s">
        <v>1124</v>
      </c>
      <c r="I95" s="3" t="s">
        <v>25</v>
      </c>
      <c r="J95" s="1" t="s">
        <v>70</v>
      </c>
      <c r="K95" s="4" t="s">
        <v>69</v>
      </c>
      <c r="L95" s="58" t="s">
        <v>1161</v>
      </c>
      <c r="M95" s="4" t="s">
        <v>1157</v>
      </c>
      <c r="N95" s="58" t="s">
        <v>1123</v>
      </c>
      <c r="O95" s="5">
        <v>10.9</v>
      </c>
      <c r="P95" s="5">
        <v>2000</v>
      </c>
      <c r="Q95" s="5">
        <v>21800</v>
      </c>
      <c r="R95" s="5" t="s">
        <v>1122</v>
      </c>
      <c r="S95" s="3" t="s">
        <v>279</v>
      </c>
      <c r="T95" s="3"/>
      <c r="U95" s="1"/>
    </row>
    <row r="96" spans="1:21" ht="16.899999999999999" x14ac:dyDescent="0.4">
      <c r="A96" s="62" t="s">
        <v>1147</v>
      </c>
      <c r="B96" s="2">
        <v>44421</v>
      </c>
      <c r="C96" s="1" t="s">
        <v>29</v>
      </c>
      <c r="D96" s="3" t="s">
        <v>280</v>
      </c>
      <c r="E96" s="2">
        <v>44447</v>
      </c>
      <c r="F96" s="3" t="s">
        <v>471</v>
      </c>
      <c r="G96" s="3" t="s">
        <v>81</v>
      </c>
      <c r="H96" s="32" t="s">
        <v>1124</v>
      </c>
      <c r="I96" s="3" t="s">
        <v>25</v>
      </c>
      <c r="J96" s="1" t="s">
        <v>41</v>
      </c>
      <c r="K96" s="4" t="s">
        <v>181</v>
      </c>
      <c r="L96" s="58" t="s">
        <v>1161</v>
      </c>
      <c r="M96" s="4" t="s">
        <v>1157</v>
      </c>
      <c r="N96" s="58" t="s">
        <v>1123</v>
      </c>
      <c r="O96" s="5">
        <v>10.95</v>
      </c>
      <c r="P96" s="5">
        <v>200</v>
      </c>
      <c r="Q96" s="5">
        <v>2190</v>
      </c>
      <c r="R96" s="5" t="s">
        <v>1122</v>
      </c>
      <c r="T96" s="3"/>
      <c r="U96" s="1"/>
    </row>
    <row r="97" spans="1:21" ht="16.899999999999999" x14ac:dyDescent="0.4">
      <c r="A97" s="62" t="s">
        <v>1147</v>
      </c>
      <c r="B97" s="2">
        <v>44426</v>
      </c>
      <c r="C97" s="1" t="s">
        <v>120</v>
      </c>
      <c r="E97" s="2">
        <v>44427</v>
      </c>
      <c r="F97" s="3" t="s">
        <v>281</v>
      </c>
      <c r="G97" s="3" t="s">
        <v>356</v>
      </c>
      <c r="H97" s="32" t="s">
        <v>1130</v>
      </c>
      <c r="I97" s="3" t="s">
        <v>95</v>
      </c>
      <c r="J97" s="1" t="s">
        <v>222</v>
      </c>
      <c r="L97" s="58" t="s">
        <v>1160</v>
      </c>
      <c r="M97" s="58" t="s">
        <v>1150</v>
      </c>
      <c r="N97" s="58" t="s">
        <v>1123</v>
      </c>
      <c r="O97" s="5">
        <v>3.9</v>
      </c>
      <c r="P97" s="5">
        <v>200</v>
      </c>
      <c r="Q97" s="5">
        <v>780</v>
      </c>
      <c r="R97" s="5" t="s">
        <v>1145</v>
      </c>
      <c r="T97" s="3"/>
      <c r="U97" s="1"/>
    </row>
    <row r="98" spans="1:21" ht="16.899999999999999" x14ac:dyDescent="0.4">
      <c r="A98" s="62" t="s">
        <v>1147</v>
      </c>
      <c r="B98" s="2">
        <v>44433</v>
      </c>
      <c r="C98" s="1" t="s">
        <v>29</v>
      </c>
      <c r="D98" s="3" t="s">
        <v>282</v>
      </c>
      <c r="E98" s="2">
        <v>44490</v>
      </c>
      <c r="F98" s="3" t="s">
        <v>471</v>
      </c>
      <c r="G98" s="3" t="s">
        <v>81</v>
      </c>
      <c r="H98" s="32" t="s">
        <v>1124</v>
      </c>
      <c r="I98" s="3" t="s">
        <v>25</v>
      </c>
      <c r="J98" s="1" t="s">
        <v>70</v>
      </c>
      <c r="K98" s="4" t="s">
        <v>69</v>
      </c>
      <c r="L98" s="58" t="s">
        <v>1161</v>
      </c>
      <c r="M98" s="4" t="s">
        <v>1157</v>
      </c>
      <c r="N98" s="58" t="s">
        <v>1123</v>
      </c>
      <c r="O98" s="5">
        <v>10.9</v>
      </c>
      <c r="P98" s="5">
        <v>3320</v>
      </c>
      <c r="Q98" s="5">
        <v>36188</v>
      </c>
      <c r="R98" s="5" t="s">
        <v>1122</v>
      </c>
      <c r="S98" s="3" t="s">
        <v>283</v>
      </c>
      <c r="T98" s="3"/>
      <c r="U98" s="1"/>
    </row>
    <row r="99" spans="1:21" ht="16.899999999999999" x14ac:dyDescent="0.4">
      <c r="A99" s="62" t="s">
        <v>1147</v>
      </c>
      <c r="B99" s="2">
        <v>44446</v>
      </c>
      <c r="C99" s="1" t="s">
        <v>29</v>
      </c>
      <c r="D99" s="3" t="s">
        <v>284</v>
      </c>
      <c r="E99" s="2">
        <v>44490</v>
      </c>
      <c r="F99" s="3" t="s">
        <v>471</v>
      </c>
      <c r="G99" s="3" t="s">
        <v>81</v>
      </c>
      <c r="H99" s="32" t="s">
        <v>1124</v>
      </c>
      <c r="I99" s="3" t="s">
        <v>62</v>
      </c>
      <c r="J99" s="1" t="s">
        <v>64</v>
      </c>
      <c r="K99" s="4" t="s">
        <v>63</v>
      </c>
      <c r="L99" s="58" t="s">
        <v>1161</v>
      </c>
      <c r="M99" s="4" t="s">
        <v>1157</v>
      </c>
      <c r="N99" s="58" t="s">
        <v>1123</v>
      </c>
      <c r="O99" s="5">
        <v>16</v>
      </c>
      <c r="P99" s="5">
        <v>750</v>
      </c>
      <c r="Q99" s="5">
        <v>12000</v>
      </c>
      <c r="R99" s="5" t="s">
        <v>1122</v>
      </c>
      <c r="S99" s="3" t="s">
        <v>286</v>
      </c>
      <c r="T99" s="3"/>
      <c r="U99" s="1"/>
    </row>
    <row r="100" spans="1:21" ht="16.899999999999999" x14ac:dyDescent="0.4">
      <c r="A100" s="62" t="s">
        <v>1147</v>
      </c>
      <c r="B100" s="2">
        <v>44449</v>
      </c>
      <c r="C100" s="1" t="s">
        <v>55</v>
      </c>
      <c r="D100" s="3" t="s">
        <v>287</v>
      </c>
      <c r="E100" s="2">
        <v>44470</v>
      </c>
      <c r="F100" s="3" t="s">
        <v>471</v>
      </c>
      <c r="G100" s="3" t="s">
        <v>356</v>
      </c>
      <c r="H100" s="32" t="s">
        <v>1124</v>
      </c>
      <c r="I100" s="3" t="s">
        <v>265</v>
      </c>
      <c r="J100" s="1" t="s">
        <v>289</v>
      </c>
      <c r="K100" s="4" t="s">
        <v>288</v>
      </c>
      <c r="L100" s="58" t="s">
        <v>1160</v>
      </c>
      <c r="M100" s="58" t="s">
        <v>1150</v>
      </c>
      <c r="N100" s="58" t="s">
        <v>1123</v>
      </c>
      <c r="O100" s="5">
        <v>1</v>
      </c>
      <c r="P100" s="5">
        <v>28</v>
      </c>
      <c r="Q100" s="5">
        <v>3362</v>
      </c>
      <c r="R100" s="5" t="s">
        <v>1145</v>
      </c>
      <c r="S100" s="3" t="s">
        <v>290</v>
      </c>
      <c r="T100" s="3"/>
      <c r="U100" s="1"/>
    </row>
    <row r="101" spans="1:21" ht="16.899999999999999" x14ac:dyDescent="0.4">
      <c r="A101" s="62" t="s">
        <v>1147</v>
      </c>
      <c r="B101" s="2">
        <v>44454</v>
      </c>
      <c r="C101" s="1" t="s">
        <v>0</v>
      </c>
      <c r="D101" s="3" t="s">
        <v>291</v>
      </c>
      <c r="E101" s="2">
        <v>44513</v>
      </c>
      <c r="F101" s="3" t="s">
        <v>471</v>
      </c>
      <c r="G101" s="3" t="s">
        <v>356</v>
      </c>
      <c r="H101" s="32" t="s">
        <v>1124</v>
      </c>
      <c r="I101" s="3" t="s">
        <v>25</v>
      </c>
      <c r="J101" s="1" t="s">
        <v>293</v>
      </c>
      <c r="K101" s="4" t="s">
        <v>292</v>
      </c>
      <c r="L101" s="58" t="s">
        <v>1161</v>
      </c>
      <c r="M101" s="4" t="s">
        <v>1158</v>
      </c>
      <c r="N101" s="58" t="s">
        <v>1123</v>
      </c>
      <c r="O101" s="5">
        <v>14.5</v>
      </c>
      <c r="P101" s="5">
        <v>1000</v>
      </c>
      <c r="Q101" s="5">
        <v>14500</v>
      </c>
      <c r="R101" s="5" t="s">
        <v>1145</v>
      </c>
      <c r="S101" s="3" t="s">
        <v>294</v>
      </c>
      <c r="T101" s="3"/>
      <c r="U101" s="1"/>
    </row>
    <row r="102" spans="1:21" ht="16.899999999999999" x14ac:dyDescent="0.4">
      <c r="A102" s="62" t="s">
        <v>1147</v>
      </c>
      <c r="B102" s="2">
        <v>44461</v>
      </c>
      <c r="C102" s="1" t="s">
        <v>108</v>
      </c>
      <c r="D102" s="3" t="s">
        <v>295</v>
      </c>
      <c r="E102" s="2">
        <v>44520</v>
      </c>
      <c r="F102" s="3" t="s">
        <v>471</v>
      </c>
      <c r="G102" s="3" t="s">
        <v>1126</v>
      </c>
      <c r="H102" s="32" t="s">
        <v>1124</v>
      </c>
      <c r="I102" s="3" t="s">
        <v>2</v>
      </c>
      <c r="J102" s="1" t="s">
        <v>70</v>
      </c>
      <c r="K102" s="4" t="s">
        <v>296</v>
      </c>
      <c r="L102" s="58" t="s">
        <v>1161</v>
      </c>
      <c r="M102" s="4" t="s">
        <v>1151</v>
      </c>
      <c r="N102" s="58" t="s">
        <v>1123</v>
      </c>
      <c r="O102" s="5">
        <v>20.5</v>
      </c>
      <c r="P102" s="5">
        <v>500</v>
      </c>
      <c r="Q102" s="5">
        <v>10250</v>
      </c>
      <c r="R102" s="5" t="s">
        <v>1145</v>
      </c>
      <c r="S102" s="3" t="s">
        <v>297</v>
      </c>
      <c r="T102" s="3"/>
      <c r="U102" s="1"/>
    </row>
    <row r="103" spans="1:21" ht="16.899999999999999" x14ac:dyDescent="0.4">
      <c r="A103" s="62" t="s">
        <v>1147</v>
      </c>
      <c r="B103" s="2">
        <v>44462</v>
      </c>
      <c r="C103" s="1" t="s">
        <v>0</v>
      </c>
      <c r="D103" s="3" t="s">
        <v>298</v>
      </c>
      <c r="E103" s="2">
        <v>44513</v>
      </c>
      <c r="F103" s="3" t="s">
        <v>471</v>
      </c>
      <c r="G103" s="3" t="s">
        <v>356</v>
      </c>
      <c r="H103" s="32" t="s">
        <v>1124</v>
      </c>
      <c r="I103" s="3" t="s">
        <v>116</v>
      </c>
      <c r="J103" s="1" t="s">
        <v>300</v>
      </c>
      <c r="K103" s="4" t="s">
        <v>299</v>
      </c>
      <c r="L103" s="58" t="s">
        <v>1161</v>
      </c>
      <c r="M103" s="4" t="s">
        <v>1158</v>
      </c>
      <c r="N103" s="58" t="s">
        <v>1123</v>
      </c>
      <c r="O103" s="5">
        <v>12.2</v>
      </c>
      <c r="P103" s="5">
        <v>300</v>
      </c>
      <c r="Q103" s="5">
        <v>3660</v>
      </c>
      <c r="R103" s="5" t="s">
        <v>1145</v>
      </c>
      <c r="S103" s="3" t="s">
        <v>301</v>
      </c>
      <c r="T103" s="3"/>
      <c r="U103" s="1"/>
    </row>
    <row r="104" spans="1:21" ht="16.899999999999999" x14ac:dyDescent="0.4">
      <c r="A104" s="62" t="s">
        <v>1147</v>
      </c>
      <c r="B104" s="2">
        <v>44469</v>
      </c>
      <c r="C104" s="1" t="s">
        <v>55</v>
      </c>
      <c r="D104" s="3" t="s">
        <v>302</v>
      </c>
      <c r="E104" s="2">
        <v>44479</v>
      </c>
      <c r="F104" s="3" t="s">
        <v>503</v>
      </c>
      <c r="G104" s="3" t="s">
        <v>356</v>
      </c>
      <c r="H104" s="32" t="s">
        <v>1124</v>
      </c>
      <c r="I104" s="3" t="s">
        <v>95</v>
      </c>
      <c r="J104" s="1" t="s">
        <v>304</v>
      </c>
      <c r="K104" s="4" t="s">
        <v>303</v>
      </c>
      <c r="L104" s="58" t="s">
        <v>1160</v>
      </c>
      <c r="M104" s="58" t="s">
        <v>1150</v>
      </c>
      <c r="N104" s="58" t="s">
        <v>1123</v>
      </c>
      <c r="O104" s="5">
        <v>4.2679999999999998</v>
      </c>
      <c r="P104" s="5">
        <v>1000</v>
      </c>
      <c r="Q104" s="5">
        <v>4268</v>
      </c>
      <c r="R104" s="5" t="s">
        <v>1145</v>
      </c>
      <c r="S104" s="3" t="s">
        <v>305</v>
      </c>
      <c r="T104" s="3"/>
      <c r="U104" s="1"/>
    </row>
    <row r="105" spans="1:21" ht="16.899999999999999" x14ac:dyDescent="0.4">
      <c r="A105" s="62" t="s">
        <v>1147</v>
      </c>
      <c r="B105" s="2">
        <v>44474</v>
      </c>
      <c r="C105" s="1" t="s">
        <v>29</v>
      </c>
      <c r="D105" s="3" t="s">
        <v>306</v>
      </c>
      <c r="E105" s="2">
        <v>44490</v>
      </c>
      <c r="F105" s="3" t="s">
        <v>471</v>
      </c>
      <c r="G105" s="3" t="s">
        <v>81</v>
      </c>
      <c r="H105" s="32" t="s">
        <v>1124</v>
      </c>
      <c r="I105" s="3" t="s">
        <v>31</v>
      </c>
      <c r="J105" s="1" t="s">
        <v>70</v>
      </c>
      <c r="K105" s="4" t="s">
        <v>151</v>
      </c>
      <c r="L105" s="58" t="s">
        <v>1160</v>
      </c>
      <c r="M105" s="4" t="s">
        <v>1157</v>
      </c>
      <c r="N105" s="58" t="s">
        <v>1123</v>
      </c>
      <c r="O105" s="5">
        <v>12</v>
      </c>
      <c r="P105" s="5">
        <v>250</v>
      </c>
      <c r="Q105" s="5">
        <v>3000</v>
      </c>
      <c r="R105" s="5" t="s">
        <v>1122</v>
      </c>
      <c r="S105" s="3" t="s">
        <v>307</v>
      </c>
      <c r="T105" s="3"/>
      <c r="U105" s="1"/>
    </row>
    <row r="106" spans="1:21" ht="16.899999999999999" x14ac:dyDescent="0.4">
      <c r="A106" s="62" t="s">
        <v>1147</v>
      </c>
      <c r="B106" s="2">
        <v>44476</v>
      </c>
      <c r="C106" s="1" t="s">
        <v>308</v>
      </c>
      <c r="D106" s="3" t="s">
        <v>309</v>
      </c>
      <c r="E106" s="2">
        <v>44512</v>
      </c>
      <c r="F106" s="3" t="s">
        <v>525</v>
      </c>
      <c r="G106" s="3" t="s">
        <v>1120</v>
      </c>
      <c r="H106" s="32" t="s">
        <v>1124</v>
      </c>
      <c r="I106" s="3" t="s">
        <v>2</v>
      </c>
      <c r="J106" s="1" t="s">
        <v>134</v>
      </c>
      <c r="K106" s="4" t="s">
        <v>133</v>
      </c>
      <c r="L106" s="58" t="s">
        <v>1161</v>
      </c>
      <c r="M106" s="4" t="s">
        <v>1151</v>
      </c>
      <c r="N106" s="58" t="s">
        <v>1123</v>
      </c>
      <c r="O106" s="5">
        <v>21.5</v>
      </c>
      <c r="P106" s="5">
        <v>500</v>
      </c>
      <c r="Q106" s="5">
        <v>10750</v>
      </c>
      <c r="R106" s="5" t="s">
        <v>1145</v>
      </c>
      <c r="S106" s="3" t="s">
        <v>313</v>
      </c>
      <c r="T106" s="3"/>
      <c r="U106" s="1"/>
    </row>
    <row r="107" spans="1:21" ht="16.899999999999999" x14ac:dyDescent="0.4">
      <c r="A107" s="62" t="s">
        <v>1147</v>
      </c>
      <c r="B107" s="2">
        <v>44476</v>
      </c>
      <c r="C107" s="1" t="s">
        <v>308</v>
      </c>
      <c r="D107" s="3" t="s">
        <v>309</v>
      </c>
      <c r="E107" s="2">
        <v>44512</v>
      </c>
      <c r="F107" s="3" t="s">
        <v>525</v>
      </c>
      <c r="G107" s="3" t="s">
        <v>1120</v>
      </c>
      <c r="H107" s="32" t="s">
        <v>1124</v>
      </c>
      <c r="I107" s="3" t="s">
        <v>310</v>
      </c>
      <c r="J107" s="1" t="s">
        <v>311</v>
      </c>
      <c r="L107" s="58" t="s">
        <v>1160</v>
      </c>
      <c r="M107" s="58" t="s">
        <v>1150</v>
      </c>
      <c r="N107" s="58" t="s">
        <v>1123</v>
      </c>
      <c r="O107" s="5">
        <v>5.8</v>
      </c>
      <c r="P107" s="5">
        <v>500</v>
      </c>
      <c r="Q107" s="5">
        <v>2900</v>
      </c>
      <c r="R107" s="5" t="s">
        <v>1145</v>
      </c>
      <c r="S107" s="3" t="s">
        <v>312</v>
      </c>
      <c r="T107" s="3"/>
      <c r="U107" s="1"/>
    </row>
    <row r="108" spans="1:21" ht="16.899999999999999" x14ac:dyDescent="0.4">
      <c r="A108" s="62" t="s">
        <v>1147</v>
      </c>
      <c r="B108" s="2">
        <v>44488</v>
      </c>
      <c r="C108" s="1" t="s">
        <v>29</v>
      </c>
      <c r="D108" s="3" t="s">
        <v>314</v>
      </c>
      <c r="E108" s="2">
        <v>44494</v>
      </c>
      <c r="F108" s="3" t="s">
        <v>471</v>
      </c>
      <c r="G108" s="3" t="s">
        <v>81</v>
      </c>
      <c r="H108" s="32" t="s">
        <v>1124</v>
      </c>
      <c r="I108" s="3" t="s">
        <v>25</v>
      </c>
      <c r="J108" s="1" t="s">
        <v>41</v>
      </c>
      <c r="K108" s="4" t="s">
        <v>181</v>
      </c>
      <c r="L108" s="58" t="s">
        <v>1161</v>
      </c>
      <c r="M108" s="4" t="s">
        <v>1157</v>
      </c>
      <c r="N108" s="58" t="s">
        <v>1123</v>
      </c>
      <c r="O108" s="5">
        <v>12.3</v>
      </c>
      <c r="P108" s="5">
        <v>250</v>
      </c>
      <c r="Q108" s="5">
        <v>3075</v>
      </c>
      <c r="R108" s="5" t="s">
        <v>1122</v>
      </c>
      <c r="S108" s="3" t="s">
        <v>315</v>
      </c>
      <c r="T108" s="3"/>
      <c r="U108" s="1"/>
    </row>
    <row r="109" spans="1:21" ht="16.899999999999999" x14ac:dyDescent="0.4">
      <c r="A109" s="62" t="s">
        <v>1147</v>
      </c>
      <c r="B109" s="2">
        <v>44488</v>
      </c>
      <c r="C109" s="1" t="s">
        <v>29</v>
      </c>
      <c r="D109" s="3" t="s">
        <v>314</v>
      </c>
      <c r="E109" s="2">
        <v>44494</v>
      </c>
      <c r="F109" s="3" t="s">
        <v>471</v>
      </c>
      <c r="G109" s="3" t="s">
        <v>81</v>
      </c>
      <c r="H109" s="32" t="s">
        <v>1124</v>
      </c>
      <c r="I109" s="3" t="s">
        <v>25</v>
      </c>
      <c r="J109" s="1" t="s">
        <v>70</v>
      </c>
      <c r="K109" s="4" t="s">
        <v>268</v>
      </c>
      <c r="L109" s="58" t="s">
        <v>1161</v>
      </c>
      <c r="M109" s="4" t="s">
        <v>1157</v>
      </c>
      <c r="N109" s="58" t="s">
        <v>1123</v>
      </c>
      <c r="O109" s="5">
        <v>11.2</v>
      </c>
      <c r="P109" s="5">
        <v>250</v>
      </c>
      <c r="Q109" s="5">
        <v>2800</v>
      </c>
      <c r="R109" s="5" t="s">
        <v>1122</v>
      </c>
      <c r="S109" s="3" t="s">
        <v>316</v>
      </c>
      <c r="T109" s="3"/>
      <c r="U109" s="1"/>
    </row>
    <row r="110" spans="1:21" ht="16.899999999999999" x14ac:dyDescent="0.4">
      <c r="A110" s="62" t="s">
        <v>1147</v>
      </c>
      <c r="B110" s="2">
        <v>44488</v>
      </c>
      <c r="C110" s="1" t="s">
        <v>29</v>
      </c>
      <c r="D110" s="3" t="s">
        <v>314</v>
      </c>
      <c r="E110" s="2">
        <v>44494</v>
      </c>
      <c r="F110" s="3" t="s">
        <v>471</v>
      </c>
      <c r="G110" s="3" t="s">
        <v>81</v>
      </c>
      <c r="H110" s="32" t="s">
        <v>1124</v>
      </c>
      <c r="I110" s="3" t="s">
        <v>25</v>
      </c>
      <c r="J110" s="1" t="s">
        <v>41</v>
      </c>
      <c r="K110" s="4" t="s">
        <v>40</v>
      </c>
      <c r="L110" s="58" t="s">
        <v>1161</v>
      </c>
      <c r="M110" s="4" t="s">
        <v>1157</v>
      </c>
      <c r="N110" s="58" t="s">
        <v>1123</v>
      </c>
      <c r="O110" s="5">
        <v>12.3</v>
      </c>
      <c r="P110" s="5">
        <v>500</v>
      </c>
      <c r="Q110" s="5">
        <v>6150</v>
      </c>
      <c r="R110" s="5" t="s">
        <v>1122</v>
      </c>
      <c r="S110" s="3" t="s">
        <v>317</v>
      </c>
      <c r="T110" s="3"/>
      <c r="U110" s="1"/>
    </row>
    <row r="111" spans="1:21" ht="16.899999999999999" x14ac:dyDescent="0.4">
      <c r="A111" s="62" t="s">
        <v>1147</v>
      </c>
      <c r="B111" s="2">
        <v>44490</v>
      </c>
      <c r="C111" s="1" t="s">
        <v>29</v>
      </c>
      <c r="D111" s="3" t="s">
        <v>318</v>
      </c>
      <c r="E111" s="2">
        <v>44494</v>
      </c>
      <c r="F111" s="3" t="s">
        <v>471</v>
      </c>
      <c r="G111" s="3" t="s">
        <v>81</v>
      </c>
      <c r="H111" s="32" t="s">
        <v>1124</v>
      </c>
      <c r="I111" s="3" t="s">
        <v>25</v>
      </c>
      <c r="J111" s="1" t="s">
        <v>83</v>
      </c>
      <c r="K111" s="4" t="s">
        <v>82</v>
      </c>
      <c r="L111" s="58" t="s">
        <v>1161</v>
      </c>
      <c r="M111" s="4" t="s">
        <v>1157</v>
      </c>
      <c r="N111" s="58" t="s">
        <v>1123</v>
      </c>
      <c r="O111" s="5">
        <v>10.9</v>
      </c>
      <c r="P111" s="5">
        <v>3500</v>
      </c>
      <c r="Q111" s="5">
        <v>38150</v>
      </c>
      <c r="R111" s="5" t="s">
        <v>1122</v>
      </c>
      <c r="S111" s="3" t="s">
        <v>319</v>
      </c>
      <c r="T111" s="3"/>
      <c r="U111" s="1"/>
    </row>
    <row r="112" spans="1:21" ht="16.899999999999999" x14ac:dyDescent="0.4">
      <c r="A112" s="62" t="s">
        <v>1147</v>
      </c>
      <c r="B112" s="2">
        <v>44497</v>
      </c>
      <c r="C112" s="1" t="s">
        <v>108</v>
      </c>
      <c r="D112" s="3" t="s">
        <v>320</v>
      </c>
      <c r="E112" s="2">
        <v>44520</v>
      </c>
      <c r="F112" s="3" t="s">
        <v>471</v>
      </c>
      <c r="G112" s="3" t="s">
        <v>1126</v>
      </c>
      <c r="H112" s="32" t="s">
        <v>1124</v>
      </c>
      <c r="I112" s="3" t="s">
        <v>310</v>
      </c>
      <c r="J112" s="1" t="s">
        <v>311</v>
      </c>
      <c r="L112" s="58" t="s">
        <v>1160</v>
      </c>
      <c r="M112" s="58" t="s">
        <v>1150</v>
      </c>
      <c r="N112" s="58" t="s">
        <v>1123</v>
      </c>
      <c r="O112" s="5">
        <v>5.8</v>
      </c>
      <c r="P112" s="5">
        <v>1000</v>
      </c>
      <c r="Q112" s="5">
        <v>5800</v>
      </c>
      <c r="R112" s="5" t="s">
        <v>1145</v>
      </c>
      <c r="S112" s="3" t="s">
        <v>321</v>
      </c>
      <c r="T112" s="3"/>
      <c r="U112" s="1"/>
    </row>
    <row r="113" spans="1:21" ht="16.899999999999999" x14ac:dyDescent="0.4">
      <c r="A113" s="62" t="s">
        <v>1147</v>
      </c>
      <c r="B113" s="2">
        <v>44503</v>
      </c>
      <c r="C113" s="1" t="s">
        <v>142</v>
      </c>
      <c r="D113" s="3" t="s">
        <v>322</v>
      </c>
      <c r="E113" s="2">
        <v>44620</v>
      </c>
      <c r="F113" s="3" t="s">
        <v>471</v>
      </c>
      <c r="G113" s="3" t="s">
        <v>285</v>
      </c>
      <c r="H113" s="32" t="s">
        <v>1124</v>
      </c>
      <c r="I113" s="3" t="s">
        <v>57</v>
      </c>
      <c r="J113" s="1" t="s">
        <v>324</v>
      </c>
      <c r="K113" s="4" t="s">
        <v>323</v>
      </c>
      <c r="L113" s="58" t="s">
        <v>1161</v>
      </c>
      <c r="M113" s="4" t="s">
        <v>1151</v>
      </c>
      <c r="N113" s="58" t="s">
        <v>1123</v>
      </c>
      <c r="O113" s="5">
        <v>13.3</v>
      </c>
      <c r="P113" s="5">
        <v>3000</v>
      </c>
      <c r="Q113" s="5">
        <v>39900</v>
      </c>
      <c r="R113" s="5" t="s">
        <v>1145</v>
      </c>
      <c r="S113" s="3" t="s">
        <v>325</v>
      </c>
      <c r="T113" s="3"/>
      <c r="U113" s="1"/>
    </row>
    <row r="114" spans="1:21" ht="18.399999999999999" x14ac:dyDescent="0.4">
      <c r="A114" s="62" t="s">
        <v>1147</v>
      </c>
      <c r="B114" s="2">
        <v>44510</v>
      </c>
      <c r="C114" s="1" t="s">
        <v>55</v>
      </c>
      <c r="D114" s="3" t="s">
        <v>326</v>
      </c>
      <c r="E114" s="2">
        <v>44510</v>
      </c>
      <c r="F114" s="3" t="s">
        <v>1141</v>
      </c>
      <c r="G114" s="3" t="s">
        <v>356</v>
      </c>
      <c r="H114" s="32" t="s">
        <v>1130</v>
      </c>
      <c r="I114" s="3" t="s">
        <v>327</v>
      </c>
      <c r="J114" s="1" t="s">
        <v>329</v>
      </c>
      <c r="K114" s="4" t="s">
        <v>328</v>
      </c>
      <c r="L114" s="58" t="s">
        <v>1160</v>
      </c>
      <c r="M114" s="58" t="s">
        <v>1150</v>
      </c>
      <c r="N114" s="58" t="s">
        <v>1123</v>
      </c>
      <c r="O114" s="5">
        <v>0.3</v>
      </c>
      <c r="P114" s="5">
        <v>1000</v>
      </c>
      <c r="Q114" s="5">
        <v>300</v>
      </c>
      <c r="R114" s="5" t="s">
        <v>1145</v>
      </c>
      <c r="S114" s="3" t="s">
        <v>1142</v>
      </c>
      <c r="T114" s="3"/>
      <c r="U114" s="1"/>
    </row>
    <row r="115" spans="1:21" ht="16.899999999999999" x14ac:dyDescent="0.4">
      <c r="A115" s="62" t="s">
        <v>1147</v>
      </c>
      <c r="B115" s="2">
        <v>44531</v>
      </c>
      <c r="C115" s="1" t="s">
        <v>29</v>
      </c>
      <c r="D115" s="3" t="s">
        <v>330</v>
      </c>
      <c r="E115" s="2">
        <v>44568</v>
      </c>
      <c r="F115" s="3" t="s">
        <v>471</v>
      </c>
      <c r="G115" s="3" t="s">
        <v>81</v>
      </c>
      <c r="H115" s="32" t="s">
        <v>1124</v>
      </c>
      <c r="I115" s="3" t="s">
        <v>25</v>
      </c>
      <c r="J115" s="1" t="s">
        <v>70</v>
      </c>
      <c r="K115" s="4" t="s">
        <v>69</v>
      </c>
      <c r="L115" s="58" t="s">
        <v>1161</v>
      </c>
      <c r="M115" s="4" t="s">
        <v>1157</v>
      </c>
      <c r="N115" s="58" t="s">
        <v>1123</v>
      </c>
      <c r="O115" s="5">
        <v>10.9</v>
      </c>
      <c r="P115" s="5">
        <v>2000</v>
      </c>
      <c r="Q115" s="5">
        <v>21800</v>
      </c>
      <c r="R115" s="5" t="s">
        <v>1122</v>
      </c>
      <c r="S115" s="3" t="s">
        <v>219</v>
      </c>
      <c r="T115" s="3"/>
      <c r="U115" s="1"/>
    </row>
    <row r="116" spans="1:21" ht="16.899999999999999" x14ac:dyDescent="0.4">
      <c r="A116" s="62" t="s">
        <v>1147</v>
      </c>
      <c r="B116" s="2">
        <v>44532</v>
      </c>
      <c r="C116" s="1" t="s">
        <v>98</v>
      </c>
      <c r="D116" s="3" t="s">
        <v>331</v>
      </c>
      <c r="E116" s="2">
        <v>44585</v>
      </c>
      <c r="F116" s="3" t="s">
        <v>471</v>
      </c>
      <c r="G116" s="3" t="s">
        <v>356</v>
      </c>
      <c r="H116" s="32" t="s">
        <v>1124</v>
      </c>
      <c r="I116" s="3" t="s">
        <v>116</v>
      </c>
      <c r="J116" s="1" t="s">
        <v>256</v>
      </c>
      <c r="K116" s="4" t="s">
        <v>255</v>
      </c>
      <c r="L116" s="58" t="s">
        <v>1160</v>
      </c>
      <c r="M116" s="4" t="s">
        <v>1152</v>
      </c>
      <c r="N116" s="58" t="s">
        <v>1123</v>
      </c>
      <c r="O116" s="5">
        <v>15.4</v>
      </c>
      <c r="P116" s="5">
        <v>3200</v>
      </c>
      <c r="Q116" s="5">
        <v>49280</v>
      </c>
      <c r="R116" s="5" t="s">
        <v>1122</v>
      </c>
      <c r="S116" s="3" t="s">
        <v>332</v>
      </c>
      <c r="T116" s="3"/>
      <c r="U116" s="1"/>
    </row>
    <row r="117" spans="1:21" ht="16.899999999999999" x14ac:dyDescent="0.4">
      <c r="A117" s="62" t="s">
        <v>1147</v>
      </c>
      <c r="B117" s="2">
        <v>44533</v>
      </c>
      <c r="C117" s="1" t="s">
        <v>120</v>
      </c>
      <c r="E117" s="2">
        <v>44536</v>
      </c>
      <c r="F117" s="3" t="s">
        <v>333</v>
      </c>
      <c r="G117" s="3" t="s">
        <v>356</v>
      </c>
      <c r="H117" s="32" t="s">
        <v>1130</v>
      </c>
      <c r="I117" s="3" t="s">
        <v>95</v>
      </c>
      <c r="J117" s="1" t="s">
        <v>222</v>
      </c>
      <c r="L117" s="58" t="s">
        <v>1160</v>
      </c>
      <c r="M117" s="58" t="s">
        <v>1150</v>
      </c>
      <c r="N117" s="58" t="s">
        <v>1123</v>
      </c>
      <c r="O117" s="5">
        <v>3.9</v>
      </c>
      <c r="P117" s="5">
        <v>300</v>
      </c>
      <c r="Q117" s="5">
        <v>1170</v>
      </c>
      <c r="R117" s="5" t="s">
        <v>1145</v>
      </c>
      <c r="T117" s="3"/>
      <c r="U117" s="1"/>
    </row>
    <row r="118" spans="1:21" ht="16.899999999999999" x14ac:dyDescent="0.4">
      <c r="A118" s="62" t="s">
        <v>1147</v>
      </c>
      <c r="B118" s="2">
        <v>44545</v>
      </c>
      <c r="C118" s="1" t="s">
        <v>6</v>
      </c>
      <c r="D118" s="3" t="s">
        <v>334</v>
      </c>
      <c r="E118" s="2">
        <v>44581</v>
      </c>
      <c r="F118" s="3" t="s">
        <v>471</v>
      </c>
      <c r="G118" s="3" t="s">
        <v>1125</v>
      </c>
      <c r="H118" s="32" t="s">
        <v>1124</v>
      </c>
      <c r="I118" s="3" t="s">
        <v>170</v>
      </c>
      <c r="J118" s="1" t="s">
        <v>4</v>
      </c>
      <c r="L118" s="58" t="s">
        <v>1160</v>
      </c>
      <c r="M118" s="4" t="s">
        <v>1155</v>
      </c>
      <c r="N118" s="58" t="s">
        <v>1123</v>
      </c>
      <c r="O118" s="5">
        <v>13.5</v>
      </c>
      <c r="P118" s="5">
        <v>100</v>
      </c>
      <c r="Q118" s="5">
        <v>1350</v>
      </c>
      <c r="R118" s="5" t="s">
        <v>1122</v>
      </c>
      <c r="S118" s="3" t="s">
        <v>335</v>
      </c>
      <c r="T118" s="3"/>
      <c r="U118" s="1"/>
    </row>
    <row r="119" spans="1:21" ht="16.899999999999999" x14ac:dyDescent="0.4">
      <c r="A119" s="62" t="s">
        <v>1147</v>
      </c>
      <c r="B119" s="2">
        <v>44547</v>
      </c>
      <c r="C119" s="1" t="s">
        <v>29</v>
      </c>
      <c r="D119" s="3" t="s">
        <v>336</v>
      </c>
      <c r="E119" s="2">
        <v>44591</v>
      </c>
      <c r="F119" s="3" t="s">
        <v>471</v>
      </c>
      <c r="G119" s="3" t="s">
        <v>81</v>
      </c>
      <c r="H119" s="32" t="s">
        <v>1124</v>
      </c>
      <c r="I119" s="3" t="s">
        <v>2</v>
      </c>
      <c r="J119" s="1" t="s">
        <v>41</v>
      </c>
      <c r="K119" s="4" t="s">
        <v>337</v>
      </c>
      <c r="L119" s="58" t="s">
        <v>1161</v>
      </c>
      <c r="M119" s="4" t="s">
        <v>1157</v>
      </c>
      <c r="N119" s="58" t="s">
        <v>1123</v>
      </c>
      <c r="O119" s="5">
        <v>16</v>
      </c>
      <c r="P119" s="5">
        <v>3000</v>
      </c>
      <c r="Q119" s="5">
        <v>48000</v>
      </c>
      <c r="R119" s="5" t="s">
        <v>1122</v>
      </c>
      <c r="S119" s="3" t="s">
        <v>338</v>
      </c>
      <c r="T119" s="3"/>
      <c r="U119" s="1"/>
    </row>
    <row r="120" spans="1:21" ht="16.899999999999999" x14ac:dyDescent="0.4">
      <c r="A120" s="62" t="s">
        <v>1147</v>
      </c>
      <c r="B120" s="2">
        <v>44581</v>
      </c>
      <c r="C120" s="1" t="s">
        <v>108</v>
      </c>
      <c r="D120" s="3" t="s">
        <v>339</v>
      </c>
      <c r="E120" s="2">
        <v>44637</v>
      </c>
      <c r="F120" s="3" t="s">
        <v>471</v>
      </c>
      <c r="G120" s="3" t="s">
        <v>1126</v>
      </c>
      <c r="H120" s="32" t="s">
        <v>1124</v>
      </c>
      <c r="I120" s="3" t="s">
        <v>310</v>
      </c>
      <c r="J120" s="1" t="s">
        <v>311</v>
      </c>
      <c r="L120" s="58" t="s">
        <v>1160</v>
      </c>
      <c r="M120" s="58" t="s">
        <v>1150</v>
      </c>
      <c r="N120" s="58" t="s">
        <v>1123</v>
      </c>
      <c r="O120" s="5">
        <v>5.8</v>
      </c>
      <c r="P120" s="5">
        <v>1000</v>
      </c>
      <c r="Q120" s="5">
        <v>5800</v>
      </c>
      <c r="R120" s="5" t="s">
        <v>1145</v>
      </c>
      <c r="S120" s="3" t="s">
        <v>340</v>
      </c>
      <c r="T120" s="3"/>
      <c r="U120" s="1"/>
    </row>
    <row r="121" spans="1:21" ht="16.899999999999999" x14ac:dyDescent="0.4">
      <c r="A121" s="62" t="s">
        <v>1147</v>
      </c>
      <c r="B121" s="2">
        <v>44581</v>
      </c>
      <c r="C121" s="1" t="s">
        <v>108</v>
      </c>
      <c r="D121" s="3" t="s">
        <v>341</v>
      </c>
      <c r="E121" s="2">
        <v>44637</v>
      </c>
      <c r="F121" s="3" t="s">
        <v>471</v>
      </c>
      <c r="G121" s="3" t="s">
        <v>1126</v>
      </c>
      <c r="H121" s="32" t="s">
        <v>1124</v>
      </c>
      <c r="I121" s="3" t="s">
        <v>310</v>
      </c>
      <c r="J121" s="1" t="s">
        <v>311</v>
      </c>
      <c r="L121" s="58" t="s">
        <v>1160</v>
      </c>
      <c r="M121" s="58" t="s">
        <v>1150</v>
      </c>
      <c r="N121" s="58" t="s">
        <v>1123</v>
      </c>
      <c r="O121" s="5">
        <v>5.8</v>
      </c>
      <c r="P121" s="5">
        <v>1000</v>
      </c>
      <c r="Q121" s="5">
        <v>5800</v>
      </c>
      <c r="R121" s="5" t="s">
        <v>1145</v>
      </c>
      <c r="T121" s="3"/>
      <c r="U121" s="1"/>
    </row>
    <row r="122" spans="1:21" ht="16.899999999999999" x14ac:dyDescent="0.4">
      <c r="A122" s="62" t="s">
        <v>1147</v>
      </c>
      <c r="B122" s="2">
        <v>44586</v>
      </c>
      <c r="C122" s="1" t="s">
        <v>29</v>
      </c>
      <c r="D122" s="3" t="s">
        <v>342</v>
      </c>
      <c r="E122" s="2">
        <v>44629</v>
      </c>
      <c r="F122" s="3" t="s">
        <v>471</v>
      </c>
      <c r="G122" s="3" t="s">
        <v>81</v>
      </c>
      <c r="H122" s="32" t="s">
        <v>1124</v>
      </c>
      <c r="I122" s="3" t="s">
        <v>25</v>
      </c>
      <c r="J122" s="1" t="s">
        <v>70</v>
      </c>
      <c r="K122" s="4" t="s">
        <v>69</v>
      </c>
      <c r="L122" s="58" t="s">
        <v>1161</v>
      </c>
      <c r="M122" s="4" t="s">
        <v>1157</v>
      </c>
      <c r="N122" s="58" t="s">
        <v>1123</v>
      </c>
      <c r="O122" s="5">
        <v>10.9</v>
      </c>
      <c r="P122" s="5">
        <v>5000</v>
      </c>
      <c r="Q122" s="5">
        <v>54500</v>
      </c>
      <c r="R122" s="5" t="s">
        <v>1122</v>
      </c>
      <c r="S122" s="3" t="s">
        <v>343</v>
      </c>
      <c r="T122" s="3"/>
      <c r="U122" s="1"/>
    </row>
    <row r="123" spans="1:21" ht="16.899999999999999" x14ac:dyDescent="0.4">
      <c r="A123" s="62" t="s">
        <v>1147</v>
      </c>
      <c r="B123" s="2">
        <v>44586</v>
      </c>
      <c r="C123" s="1" t="s">
        <v>29</v>
      </c>
      <c r="D123" s="3" t="s">
        <v>344</v>
      </c>
      <c r="E123" s="2">
        <v>44635</v>
      </c>
      <c r="F123" s="3" t="s">
        <v>471</v>
      </c>
      <c r="G123" s="3" t="s">
        <v>81</v>
      </c>
      <c r="H123" s="32" t="s">
        <v>1124</v>
      </c>
      <c r="I123" s="3" t="s">
        <v>25</v>
      </c>
      <c r="J123" s="1" t="s">
        <v>83</v>
      </c>
      <c r="K123" s="4" t="s">
        <v>82</v>
      </c>
      <c r="L123" s="58" t="s">
        <v>1161</v>
      </c>
      <c r="M123" s="4" t="s">
        <v>1157</v>
      </c>
      <c r="N123" s="58" t="s">
        <v>1123</v>
      </c>
      <c r="O123" s="5">
        <v>10.9</v>
      </c>
      <c r="P123" s="5">
        <v>1500</v>
      </c>
      <c r="Q123" s="5">
        <v>16350</v>
      </c>
      <c r="R123" s="5" t="s">
        <v>1122</v>
      </c>
      <c r="S123" s="3" t="s">
        <v>345</v>
      </c>
      <c r="T123" s="3"/>
      <c r="U123" s="1"/>
    </row>
    <row r="124" spans="1:21" ht="16.899999999999999" x14ac:dyDescent="0.4">
      <c r="A124" s="62" t="s">
        <v>1147</v>
      </c>
      <c r="B124" s="2">
        <v>44589</v>
      </c>
      <c r="C124" s="1" t="s">
        <v>29</v>
      </c>
      <c r="D124" s="3" t="s">
        <v>346</v>
      </c>
      <c r="E124" s="2">
        <v>44635</v>
      </c>
      <c r="F124" s="3" t="s">
        <v>471</v>
      </c>
      <c r="G124" s="3" t="s">
        <v>81</v>
      </c>
      <c r="H124" s="32" t="s">
        <v>1124</v>
      </c>
      <c r="I124" s="3" t="s">
        <v>25</v>
      </c>
      <c r="J124" s="1" t="s">
        <v>347</v>
      </c>
      <c r="K124" s="4">
        <v>11371</v>
      </c>
      <c r="L124" s="58" t="s">
        <v>1161</v>
      </c>
      <c r="M124" s="4" t="s">
        <v>1157</v>
      </c>
      <c r="N124" s="58" t="s">
        <v>1123</v>
      </c>
      <c r="O124" s="5">
        <v>12.3</v>
      </c>
      <c r="P124" s="5">
        <v>500</v>
      </c>
      <c r="Q124" s="5">
        <v>6410</v>
      </c>
      <c r="R124" s="5" t="s">
        <v>1122</v>
      </c>
      <c r="S124" s="3" t="s">
        <v>348</v>
      </c>
      <c r="T124" s="3"/>
      <c r="U124" s="1"/>
    </row>
    <row r="125" spans="1:21" ht="16.899999999999999" x14ac:dyDescent="0.4">
      <c r="A125" s="62" t="s">
        <v>1147</v>
      </c>
      <c r="B125" s="2">
        <v>44590</v>
      </c>
      <c r="C125" s="1" t="s">
        <v>29</v>
      </c>
      <c r="D125" s="3" t="s">
        <v>349</v>
      </c>
      <c r="E125" s="2">
        <v>44629</v>
      </c>
      <c r="F125" s="3" t="s">
        <v>471</v>
      </c>
      <c r="G125" s="3" t="s">
        <v>81</v>
      </c>
      <c r="H125" s="32" t="s">
        <v>1124</v>
      </c>
      <c r="I125" s="8" t="s">
        <v>350</v>
      </c>
      <c r="J125" s="1" t="s">
        <v>260</v>
      </c>
      <c r="K125" s="4" t="s">
        <v>351</v>
      </c>
      <c r="L125" s="58" t="s">
        <v>1160</v>
      </c>
      <c r="M125" s="4" t="s">
        <v>1157</v>
      </c>
      <c r="N125" s="58" t="s">
        <v>1123</v>
      </c>
      <c r="O125" s="5">
        <v>9.5</v>
      </c>
      <c r="P125" s="5">
        <v>200</v>
      </c>
      <c r="Q125" s="5">
        <v>2380</v>
      </c>
      <c r="R125" s="5" t="s">
        <v>1122</v>
      </c>
      <c r="S125" s="3" t="s">
        <v>352</v>
      </c>
      <c r="T125" s="3"/>
      <c r="U125" s="1"/>
    </row>
    <row r="126" spans="1:21" ht="16.899999999999999" x14ac:dyDescent="0.4">
      <c r="A126" s="62" t="s">
        <v>1147</v>
      </c>
      <c r="B126" s="2">
        <v>44603</v>
      </c>
      <c r="C126" s="1" t="s">
        <v>29</v>
      </c>
      <c r="D126" s="3" t="s">
        <v>353</v>
      </c>
      <c r="E126" s="2">
        <v>44691</v>
      </c>
      <c r="F126" s="3" t="s">
        <v>471</v>
      </c>
      <c r="G126" s="3" t="s">
        <v>81</v>
      </c>
      <c r="H126" s="32" t="s">
        <v>1124</v>
      </c>
      <c r="I126" s="3" t="s">
        <v>25</v>
      </c>
      <c r="J126" s="1" t="s">
        <v>70</v>
      </c>
      <c r="K126" s="4" t="s">
        <v>69</v>
      </c>
      <c r="L126" s="58" t="s">
        <v>1161</v>
      </c>
      <c r="M126" s="4" t="s">
        <v>1157</v>
      </c>
      <c r="N126" s="58" t="s">
        <v>1123</v>
      </c>
      <c r="O126" s="5">
        <v>10.9</v>
      </c>
      <c r="P126" s="5">
        <v>6640</v>
      </c>
      <c r="Q126" s="5">
        <v>72376</v>
      </c>
      <c r="R126" s="5" t="s">
        <v>1122</v>
      </c>
      <c r="S126" s="3" t="s">
        <v>354</v>
      </c>
      <c r="T126" s="3"/>
      <c r="U126" s="1"/>
    </row>
    <row r="127" spans="1:21" ht="16.899999999999999" x14ac:dyDescent="0.4">
      <c r="A127" s="62" t="s">
        <v>1147</v>
      </c>
      <c r="B127" s="2">
        <v>44603</v>
      </c>
      <c r="C127" s="1" t="s">
        <v>242</v>
      </c>
      <c r="D127" s="3" t="s">
        <v>355</v>
      </c>
      <c r="E127" s="2">
        <v>44709</v>
      </c>
      <c r="F127" s="3" t="s">
        <v>471</v>
      </c>
      <c r="G127" s="3" t="s">
        <v>356</v>
      </c>
      <c r="H127" s="32" t="s">
        <v>1124</v>
      </c>
      <c r="I127" s="3" t="s">
        <v>357</v>
      </c>
      <c r="J127" s="1" t="s">
        <v>70</v>
      </c>
      <c r="K127" s="4" t="s">
        <v>358</v>
      </c>
      <c r="L127" s="58" t="s">
        <v>1161</v>
      </c>
      <c r="M127" s="4" t="s">
        <v>1151</v>
      </c>
      <c r="N127" s="58" t="s">
        <v>1123</v>
      </c>
      <c r="O127" s="5">
        <v>17.5</v>
      </c>
      <c r="P127" s="5">
        <v>8000</v>
      </c>
      <c r="Q127" s="5">
        <v>140000</v>
      </c>
      <c r="R127" s="5" t="s">
        <v>1146</v>
      </c>
      <c r="S127" s="3" t="s">
        <v>359</v>
      </c>
      <c r="T127" s="3"/>
      <c r="U127" s="1"/>
    </row>
    <row r="128" spans="1:21" ht="16.899999999999999" x14ac:dyDescent="0.4">
      <c r="A128" s="62" t="s">
        <v>1147</v>
      </c>
      <c r="B128" s="2">
        <v>44610</v>
      </c>
      <c r="C128" s="1" t="s">
        <v>55</v>
      </c>
      <c r="D128" s="3" t="s">
        <v>360</v>
      </c>
      <c r="E128" s="2">
        <v>44650</v>
      </c>
      <c r="F128" s="3" t="s">
        <v>471</v>
      </c>
      <c r="G128" s="3" t="s">
        <v>356</v>
      </c>
      <c r="H128" s="32" t="s">
        <v>1124</v>
      </c>
      <c r="I128" s="3" t="s">
        <v>86</v>
      </c>
      <c r="L128" s="58" t="s">
        <v>1160</v>
      </c>
      <c r="M128" s="58" t="s">
        <v>1150</v>
      </c>
      <c r="N128" s="58" t="s">
        <v>1123</v>
      </c>
      <c r="O128" s="5">
        <v>1</v>
      </c>
      <c r="P128" s="5">
        <v>1000</v>
      </c>
      <c r="Q128" s="5">
        <v>1000</v>
      </c>
      <c r="R128" s="5" t="s">
        <v>1145</v>
      </c>
      <c r="T128" s="3"/>
      <c r="U128" s="1"/>
    </row>
    <row r="129" spans="1:21" ht="16.899999999999999" x14ac:dyDescent="0.4">
      <c r="A129" s="62" t="s">
        <v>1147</v>
      </c>
      <c r="B129" s="2">
        <v>44610</v>
      </c>
      <c r="C129" s="1" t="s">
        <v>55</v>
      </c>
      <c r="D129" s="3" t="s">
        <v>360</v>
      </c>
      <c r="E129" s="2">
        <v>44650</v>
      </c>
      <c r="F129" s="3" t="s">
        <v>471</v>
      </c>
      <c r="G129" s="3" t="s">
        <v>356</v>
      </c>
      <c r="H129" s="32" t="s">
        <v>1124</v>
      </c>
      <c r="I129" s="3" t="s">
        <v>361</v>
      </c>
      <c r="L129" s="58" t="s">
        <v>1160</v>
      </c>
      <c r="M129" s="58" t="s">
        <v>1150</v>
      </c>
      <c r="N129" s="58" t="s">
        <v>1123</v>
      </c>
      <c r="O129" s="5">
        <v>1.85</v>
      </c>
      <c r="P129" s="5">
        <v>1000</v>
      </c>
      <c r="Q129" s="5">
        <v>1850</v>
      </c>
      <c r="R129" s="5" t="s">
        <v>1145</v>
      </c>
      <c r="T129" s="3"/>
      <c r="U129" s="1"/>
    </row>
    <row r="130" spans="1:21" ht="16.899999999999999" x14ac:dyDescent="0.4">
      <c r="A130" s="62" t="s">
        <v>1147</v>
      </c>
      <c r="B130" s="2">
        <v>44615</v>
      </c>
      <c r="C130" s="1" t="s">
        <v>29</v>
      </c>
      <c r="D130" s="3" t="s">
        <v>362</v>
      </c>
      <c r="E130" s="2">
        <v>44615</v>
      </c>
      <c r="F130" s="3" t="s">
        <v>363</v>
      </c>
      <c r="G130" s="3" t="s">
        <v>81</v>
      </c>
      <c r="H130" s="32" t="s">
        <v>1130</v>
      </c>
      <c r="I130" s="3" t="s">
        <v>364</v>
      </c>
      <c r="J130" s="1" t="s">
        <v>366</v>
      </c>
      <c r="K130" s="4" t="s">
        <v>365</v>
      </c>
      <c r="L130" s="58" t="s">
        <v>1161</v>
      </c>
      <c r="M130" s="4" t="s">
        <v>1157</v>
      </c>
      <c r="N130" s="58" t="s">
        <v>1123</v>
      </c>
      <c r="O130" s="5">
        <v>11.9</v>
      </c>
      <c r="P130" s="5">
        <v>2</v>
      </c>
      <c r="Q130" s="5">
        <v>0</v>
      </c>
      <c r="R130" s="5" t="s">
        <v>1122</v>
      </c>
      <c r="S130" s="3" t="s">
        <v>367</v>
      </c>
      <c r="T130" s="3"/>
      <c r="U130" s="1"/>
    </row>
    <row r="131" spans="1:21" ht="16.899999999999999" x14ac:dyDescent="0.4">
      <c r="A131" s="62" t="s">
        <v>1147</v>
      </c>
      <c r="B131" s="2">
        <v>44616</v>
      </c>
      <c r="C131" s="1" t="s">
        <v>29</v>
      </c>
      <c r="D131" s="3" t="s">
        <v>362</v>
      </c>
      <c r="E131" s="2">
        <v>44616</v>
      </c>
      <c r="F131" s="3" t="s">
        <v>368</v>
      </c>
      <c r="G131" s="3" t="s">
        <v>81</v>
      </c>
      <c r="H131" s="32" t="s">
        <v>1130</v>
      </c>
      <c r="I131" s="3" t="s">
        <v>364</v>
      </c>
      <c r="J131" s="1" t="s">
        <v>369</v>
      </c>
      <c r="K131" s="4" t="s">
        <v>365</v>
      </c>
      <c r="L131" s="58" t="s">
        <v>1161</v>
      </c>
      <c r="M131" s="4" t="s">
        <v>1157</v>
      </c>
      <c r="N131" s="58" t="s">
        <v>1123</v>
      </c>
      <c r="O131" s="5">
        <v>11.9</v>
      </c>
      <c r="P131" s="5">
        <v>5</v>
      </c>
      <c r="Q131" s="5">
        <v>0</v>
      </c>
      <c r="R131" s="5" t="s">
        <v>1122</v>
      </c>
      <c r="S131" s="3" t="s">
        <v>370</v>
      </c>
      <c r="T131" s="3"/>
      <c r="U131" s="1"/>
    </row>
    <row r="132" spans="1:21" ht="16.899999999999999" x14ac:dyDescent="0.4">
      <c r="A132" s="62" t="s">
        <v>1147</v>
      </c>
      <c r="B132" s="2">
        <v>44620</v>
      </c>
      <c r="C132" s="1" t="s">
        <v>29</v>
      </c>
      <c r="D132" s="3" t="s">
        <v>371</v>
      </c>
      <c r="E132" s="2">
        <v>44683</v>
      </c>
      <c r="F132" s="3" t="s">
        <v>471</v>
      </c>
      <c r="G132" s="3" t="s">
        <v>81</v>
      </c>
      <c r="H132" s="32" t="s">
        <v>1124</v>
      </c>
      <c r="I132" s="3" t="s">
        <v>372</v>
      </c>
      <c r="J132" s="1" t="s">
        <v>373</v>
      </c>
      <c r="K132" s="4">
        <v>200160</v>
      </c>
      <c r="L132" s="58" t="s">
        <v>1160</v>
      </c>
      <c r="M132" s="4" t="s">
        <v>1157</v>
      </c>
      <c r="N132" s="58" t="s">
        <v>1123</v>
      </c>
      <c r="O132" s="5">
        <v>19.5</v>
      </c>
      <c r="P132" s="5">
        <v>200</v>
      </c>
      <c r="Q132" s="5">
        <v>3900</v>
      </c>
      <c r="R132" s="5" t="s">
        <v>1122</v>
      </c>
      <c r="S132" s="3" t="s">
        <v>374</v>
      </c>
      <c r="T132" s="3"/>
      <c r="U132" s="1"/>
    </row>
    <row r="133" spans="1:21" ht="16.899999999999999" x14ac:dyDescent="0.4">
      <c r="A133" s="62" t="s">
        <v>1147</v>
      </c>
      <c r="B133" s="2">
        <v>44627</v>
      </c>
      <c r="C133" s="1" t="s">
        <v>108</v>
      </c>
      <c r="D133" s="3" t="s">
        <v>375</v>
      </c>
      <c r="E133" s="2">
        <v>44650</v>
      </c>
      <c r="F133" s="3" t="s">
        <v>525</v>
      </c>
      <c r="G133" s="3" t="s">
        <v>356</v>
      </c>
      <c r="H133" s="32" t="s">
        <v>1139</v>
      </c>
      <c r="I133" s="3" t="s">
        <v>376</v>
      </c>
      <c r="J133" s="1" t="s">
        <v>377</v>
      </c>
      <c r="L133" s="58" t="s">
        <v>1160</v>
      </c>
      <c r="M133" s="58" t="s">
        <v>1150</v>
      </c>
      <c r="N133" s="58" t="s">
        <v>1123</v>
      </c>
      <c r="O133" s="5">
        <v>190.18</v>
      </c>
      <c r="P133" s="5">
        <v>2</v>
      </c>
      <c r="Q133" s="5">
        <v>380.36</v>
      </c>
      <c r="R133" s="5" t="s">
        <v>1145</v>
      </c>
      <c r="T133" s="3"/>
      <c r="U133" s="1"/>
    </row>
    <row r="134" spans="1:21" ht="16.899999999999999" x14ac:dyDescent="0.4">
      <c r="A134" s="62" t="s">
        <v>1147</v>
      </c>
      <c r="B134" s="2">
        <v>44627</v>
      </c>
      <c r="C134" s="1" t="s">
        <v>108</v>
      </c>
      <c r="D134" s="3" t="s">
        <v>375</v>
      </c>
      <c r="E134" s="2">
        <v>44650</v>
      </c>
      <c r="F134" s="3" t="s">
        <v>525</v>
      </c>
      <c r="G134" s="3" t="s">
        <v>356</v>
      </c>
      <c r="H134" s="32" t="s">
        <v>1139</v>
      </c>
      <c r="I134" s="3" t="s">
        <v>95</v>
      </c>
      <c r="J134" s="1" t="s">
        <v>379</v>
      </c>
      <c r="K134" s="4" t="s">
        <v>378</v>
      </c>
      <c r="L134" s="58" t="s">
        <v>1160</v>
      </c>
      <c r="M134" s="58" t="s">
        <v>1150</v>
      </c>
      <c r="N134" s="58" t="s">
        <v>1123</v>
      </c>
      <c r="O134" s="5">
        <v>4.9000000000000004</v>
      </c>
      <c r="P134" s="5">
        <v>1000</v>
      </c>
      <c r="Q134" s="5">
        <v>6405</v>
      </c>
      <c r="R134" s="5" t="s">
        <v>1145</v>
      </c>
      <c r="T134" s="3"/>
      <c r="U134" s="1"/>
    </row>
    <row r="135" spans="1:21" ht="16.899999999999999" x14ac:dyDescent="0.4">
      <c r="A135" s="62" t="s">
        <v>1147</v>
      </c>
      <c r="B135" s="2">
        <v>44629</v>
      </c>
      <c r="C135" s="1" t="s">
        <v>29</v>
      </c>
      <c r="D135" s="3" t="s">
        <v>380</v>
      </c>
      <c r="E135" s="2">
        <v>44712</v>
      </c>
      <c r="F135" s="3" t="s">
        <v>471</v>
      </c>
      <c r="G135" s="3" t="s">
        <v>81</v>
      </c>
      <c r="H135" s="32" t="s">
        <v>1124</v>
      </c>
      <c r="I135" s="3" t="s">
        <v>25</v>
      </c>
      <c r="J135" s="1" t="s">
        <v>381</v>
      </c>
      <c r="K135" s="4" t="s">
        <v>365</v>
      </c>
      <c r="L135" s="58" t="s">
        <v>1161</v>
      </c>
      <c r="M135" s="4" t="s">
        <v>1157</v>
      </c>
      <c r="N135" s="58" t="s">
        <v>1123</v>
      </c>
      <c r="O135" s="5">
        <v>11.9</v>
      </c>
      <c r="P135" s="5">
        <v>4500</v>
      </c>
      <c r="Q135" s="5">
        <v>53550</v>
      </c>
      <c r="R135" s="5" t="s">
        <v>1122</v>
      </c>
      <c r="S135" s="3" t="s">
        <v>382</v>
      </c>
      <c r="T135" s="3"/>
      <c r="U135" s="1"/>
    </row>
    <row r="136" spans="1:21" ht="16.899999999999999" x14ac:dyDescent="0.4">
      <c r="A136" s="62" t="s">
        <v>1147</v>
      </c>
      <c r="B136" s="2">
        <v>44629</v>
      </c>
      <c r="C136" s="1" t="s">
        <v>29</v>
      </c>
      <c r="D136" s="3" t="s">
        <v>383</v>
      </c>
      <c r="E136" s="2">
        <v>44712</v>
      </c>
      <c r="F136" s="3" t="s">
        <v>471</v>
      </c>
      <c r="G136" s="3" t="s">
        <v>81</v>
      </c>
      <c r="H136" s="32" t="s">
        <v>1124</v>
      </c>
      <c r="I136" s="3" t="s">
        <v>31</v>
      </c>
      <c r="J136" s="1" t="s">
        <v>70</v>
      </c>
      <c r="K136" s="4" t="s">
        <v>151</v>
      </c>
      <c r="L136" s="58" t="s">
        <v>1160</v>
      </c>
      <c r="M136" s="4" t="s">
        <v>1157</v>
      </c>
      <c r="N136" s="58" t="s">
        <v>1123</v>
      </c>
      <c r="O136" s="5">
        <v>12</v>
      </c>
      <c r="P136" s="5">
        <v>250</v>
      </c>
      <c r="Q136" s="5">
        <v>3000</v>
      </c>
      <c r="R136" s="5" t="s">
        <v>1122</v>
      </c>
      <c r="S136" s="3" t="s">
        <v>384</v>
      </c>
      <c r="T136" s="3"/>
      <c r="U136" s="1"/>
    </row>
    <row r="137" spans="1:21" ht="16.899999999999999" x14ac:dyDescent="0.4">
      <c r="A137" s="62" t="s">
        <v>1147</v>
      </c>
      <c r="B137" s="2">
        <v>44665</v>
      </c>
      <c r="C137" s="1" t="s">
        <v>29</v>
      </c>
      <c r="D137" s="3" t="s">
        <v>385</v>
      </c>
      <c r="E137" s="2">
        <v>44718</v>
      </c>
      <c r="F137" s="3" t="s">
        <v>471</v>
      </c>
      <c r="G137" s="3" t="s">
        <v>81</v>
      </c>
      <c r="H137" s="32" t="s">
        <v>1124</v>
      </c>
      <c r="I137" s="3" t="s">
        <v>25</v>
      </c>
      <c r="J137" s="1" t="s">
        <v>83</v>
      </c>
      <c r="K137" s="4" t="s">
        <v>82</v>
      </c>
      <c r="L137" s="58" t="s">
        <v>1161</v>
      </c>
      <c r="M137" s="4" t="s">
        <v>1157</v>
      </c>
      <c r="N137" s="58" t="s">
        <v>1123</v>
      </c>
      <c r="O137" s="5">
        <v>10.9</v>
      </c>
      <c r="P137" s="5">
        <v>1000</v>
      </c>
      <c r="Q137" s="5">
        <v>10900</v>
      </c>
      <c r="R137" s="5" t="s">
        <v>1122</v>
      </c>
      <c r="S137" s="3" t="s">
        <v>386</v>
      </c>
      <c r="T137" s="3"/>
      <c r="U137" s="1"/>
    </row>
    <row r="138" spans="1:21" ht="16.899999999999999" x14ac:dyDescent="0.4">
      <c r="A138" s="62" t="s">
        <v>1147</v>
      </c>
      <c r="B138" s="2">
        <v>44665</v>
      </c>
      <c r="C138" s="1" t="s">
        <v>29</v>
      </c>
      <c r="D138" s="3" t="s">
        <v>387</v>
      </c>
      <c r="E138" s="2">
        <v>44784</v>
      </c>
      <c r="F138" s="3" t="s">
        <v>471</v>
      </c>
      <c r="G138" s="3" t="s">
        <v>81</v>
      </c>
      <c r="H138" s="32" t="s">
        <v>1124</v>
      </c>
      <c r="I138" s="3" t="s">
        <v>25</v>
      </c>
      <c r="J138" s="1" t="s">
        <v>41</v>
      </c>
      <c r="K138" s="4" t="s">
        <v>40</v>
      </c>
      <c r="L138" s="58" t="s">
        <v>1161</v>
      </c>
      <c r="M138" s="4" t="s">
        <v>1157</v>
      </c>
      <c r="N138" s="58" t="s">
        <v>1123</v>
      </c>
      <c r="O138" s="5">
        <v>12.3</v>
      </c>
      <c r="P138" s="5">
        <v>3000</v>
      </c>
      <c r="Q138" s="5">
        <v>36900</v>
      </c>
      <c r="R138" s="5" t="s">
        <v>1122</v>
      </c>
      <c r="S138" s="3" t="s">
        <v>388</v>
      </c>
      <c r="T138" s="3"/>
      <c r="U138" s="1"/>
    </row>
    <row r="139" spans="1:21" ht="16.899999999999999" x14ac:dyDescent="0.4">
      <c r="A139" s="62" t="s">
        <v>1147</v>
      </c>
      <c r="B139" s="2">
        <v>44685</v>
      </c>
      <c r="C139" s="1" t="s">
        <v>29</v>
      </c>
      <c r="D139" s="3" t="s">
        <v>389</v>
      </c>
      <c r="E139" s="2">
        <v>44784</v>
      </c>
      <c r="F139" s="3" t="s">
        <v>471</v>
      </c>
      <c r="G139" s="3" t="s">
        <v>81</v>
      </c>
      <c r="H139" s="32" t="s">
        <v>1124</v>
      </c>
      <c r="I139" s="3" t="s">
        <v>25</v>
      </c>
      <c r="J139" s="1" t="s">
        <v>70</v>
      </c>
      <c r="K139" s="4" t="s">
        <v>69</v>
      </c>
      <c r="L139" s="58" t="s">
        <v>1161</v>
      </c>
      <c r="M139" s="4" t="s">
        <v>1157</v>
      </c>
      <c r="N139" s="58" t="s">
        <v>1123</v>
      </c>
      <c r="O139" s="5">
        <v>10.9</v>
      </c>
      <c r="P139" s="5">
        <v>3890</v>
      </c>
      <c r="Q139" s="5">
        <v>42401</v>
      </c>
      <c r="R139" s="5" t="s">
        <v>1122</v>
      </c>
      <c r="S139" s="3" t="s">
        <v>390</v>
      </c>
      <c r="T139" s="3"/>
      <c r="U139" s="1"/>
    </row>
    <row r="140" spans="1:21" ht="16.899999999999999" x14ac:dyDescent="0.4">
      <c r="A140" s="62" t="s">
        <v>1147</v>
      </c>
      <c r="B140" s="2">
        <v>44691</v>
      </c>
      <c r="C140" s="1" t="s">
        <v>120</v>
      </c>
      <c r="D140" s="3" t="s">
        <v>391</v>
      </c>
      <c r="E140" s="2">
        <v>44691</v>
      </c>
      <c r="F140" s="3" t="s">
        <v>392</v>
      </c>
      <c r="G140" s="3" t="s">
        <v>356</v>
      </c>
      <c r="H140" s="32" t="s">
        <v>1130</v>
      </c>
      <c r="I140" s="3" t="s">
        <v>95</v>
      </c>
      <c r="J140" s="1">
        <v>24842</v>
      </c>
      <c r="L140" s="58" t="s">
        <v>1160</v>
      </c>
      <c r="M140" s="58" t="s">
        <v>1150</v>
      </c>
      <c r="N140" s="58" t="s">
        <v>1123</v>
      </c>
      <c r="O140" s="5">
        <v>3.7</v>
      </c>
      <c r="P140" s="5">
        <v>200</v>
      </c>
      <c r="Q140" s="5">
        <v>740</v>
      </c>
      <c r="R140" s="5" t="s">
        <v>1145</v>
      </c>
      <c r="T140" s="3"/>
      <c r="U140" s="1"/>
    </row>
    <row r="141" spans="1:21" ht="16.899999999999999" x14ac:dyDescent="0.4">
      <c r="A141" s="62" t="s">
        <v>1147</v>
      </c>
      <c r="B141" s="2">
        <v>44692</v>
      </c>
      <c r="C141" s="1" t="s">
        <v>0</v>
      </c>
      <c r="D141" s="3" t="s">
        <v>393</v>
      </c>
      <c r="E141" s="2">
        <v>44780</v>
      </c>
      <c r="F141" s="3" t="s">
        <v>471</v>
      </c>
      <c r="G141" s="3" t="s">
        <v>356</v>
      </c>
      <c r="H141" s="32" t="s">
        <v>1124</v>
      </c>
      <c r="I141" s="3" t="s">
        <v>57</v>
      </c>
      <c r="J141" s="1" t="s">
        <v>395</v>
      </c>
      <c r="K141" s="4" t="s">
        <v>394</v>
      </c>
      <c r="L141" s="58" t="s">
        <v>1161</v>
      </c>
      <c r="M141" s="4" t="s">
        <v>1158</v>
      </c>
      <c r="N141" s="58" t="s">
        <v>1123</v>
      </c>
      <c r="O141" s="5">
        <v>17</v>
      </c>
      <c r="P141" s="5">
        <v>200</v>
      </c>
      <c r="Q141" s="5">
        <v>3400</v>
      </c>
      <c r="R141" s="5" t="s">
        <v>1145</v>
      </c>
      <c r="S141" s="3" t="s">
        <v>396</v>
      </c>
      <c r="T141" s="3"/>
      <c r="U141" s="1"/>
    </row>
    <row r="142" spans="1:21" ht="16.899999999999999" x14ac:dyDescent="0.4">
      <c r="A142" s="62" t="s">
        <v>1147</v>
      </c>
      <c r="B142" s="2">
        <v>44705</v>
      </c>
      <c r="C142" s="1" t="s">
        <v>308</v>
      </c>
      <c r="D142" s="3" t="s">
        <v>397</v>
      </c>
      <c r="E142" s="2">
        <v>44705</v>
      </c>
      <c r="F142" s="3" t="s">
        <v>525</v>
      </c>
      <c r="G142" s="3" t="s">
        <v>1120</v>
      </c>
      <c r="H142" s="32" t="s">
        <v>1124</v>
      </c>
      <c r="I142" s="3" t="s">
        <v>95</v>
      </c>
      <c r="J142" s="1" t="s">
        <v>311</v>
      </c>
      <c r="L142" s="58" t="s">
        <v>1160</v>
      </c>
      <c r="M142" s="58" t="s">
        <v>1150</v>
      </c>
      <c r="N142" s="58" t="s">
        <v>1123</v>
      </c>
      <c r="O142" s="5">
        <v>6.05</v>
      </c>
      <c r="P142" s="5">
        <v>500</v>
      </c>
      <c r="Q142" s="5">
        <v>3025</v>
      </c>
      <c r="R142" s="5" t="s">
        <v>1145</v>
      </c>
      <c r="T142" s="3"/>
      <c r="U142" s="1"/>
    </row>
    <row r="143" spans="1:21" ht="16.899999999999999" x14ac:dyDescent="0.4">
      <c r="A143" s="62" t="s">
        <v>1147</v>
      </c>
      <c r="B143" s="2">
        <v>44708</v>
      </c>
      <c r="C143" s="1" t="s">
        <v>55</v>
      </c>
      <c r="D143" s="3" t="s">
        <v>398</v>
      </c>
      <c r="E143" s="2">
        <v>44730</v>
      </c>
      <c r="F143" s="3" t="s">
        <v>471</v>
      </c>
      <c r="G143" s="3" t="s">
        <v>356</v>
      </c>
      <c r="H143" s="32" t="s">
        <v>1124</v>
      </c>
      <c r="I143" s="3" t="s">
        <v>399</v>
      </c>
      <c r="J143" s="1" t="s">
        <v>169</v>
      </c>
      <c r="K143" s="4" t="s">
        <v>400</v>
      </c>
      <c r="L143" s="58" t="s">
        <v>1161</v>
      </c>
      <c r="M143" s="4" t="s">
        <v>1159</v>
      </c>
      <c r="N143" s="58" t="s">
        <v>1123</v>
      </c>
      <c r="O143" s="5">
        <v>15.5</v>
      </c>
      <c r="P143" s="5">
        <v>250</v>
      </c>
      <c r="Q143" s="5">
        <v>3875</v>
      </c>
      <c r="R143" s="5" t="s">
        <v>1145</v>
      </c>
      <c r="S143" s="3" t="s">
        <v>401</v>
      </c>
      <c r="T143" s="3"/>
      <c r="U143" s="1"/>
    </row>
    <row r="144" spans="1:21" ht="16.899999999999999" x14ac:dyDescent="0.4">
      <c r="A144" s="62" t="s">
        <v>1147</v>
      </c>
      <c r="B144" s="2">
        <v>44720</v>
      </c>
      <c r="C144" s="1" t="s">
        <v>29</v>
      </c>
      <c r="D144" s="3" t="s">
        <v>402</v>
      </c>
      <c r="E144" s="2">
        <v>44784</v>
      </c>
      <c r="F144" s="3" t="s">
        <v>649</v>
      </c>
      <c r="G144" s="3" t="s">
        <v>81</v>
      </c>
      <c r="H144" s="32" t="s">
        <v>1124</v>
      </c>
      <c r="I144" s="3" t="s">
        <v>31</v>
      </c>
      <c r="J144" s="1" t="s">
        <v>78</v>
      </c>
      <c r="K144" s="4" t="s">
        <v>77</v>
      </c>
      <c r="L144" s="58" t="s">
        <v>1160</v>
      </c>
      <c r="M144" s="4" t="s">
        <v>1157</v>
      </c>
      <c r="N144" s="58" t="s">
        <v>1123</v>
      </c>
      <c r="O144" s="5">
        <v>10.9</v>
      </c>
      <c r="P144" s="5">
        <v>300</v>
      </c>
      <c r="Q144" s="5">
        <v>3270</v>
      </c>
      <c r="R144" s="5" t="s">
        <v>1122</v>
      </c>
      <c r="S144" s="3" t="s">
        <v>403</v>
      </c>
      <c r="T144" s="3"/>
      <c r="U144" s="1"/>
    </row>
    <row r="145" spans="1:21" ht="16.899999999999999" x14ac:dyDescent="0.4">
      <c r="A145" s="62" t="s">
        <v>1147</v>
      </c>
      <c r="B145" s="2">
        <v>44723</v>
      </c>
      <c r="C145" s="1" t="s">
        <v>0</v>
      </c>
      <c r="D145" s="3" t="s">
        <v>404</v>
      </c>
      <c r="E145" s="2">
        <v>44777</v>
      </c>
      <c r="F145" s="3" t="s">
        <v>1140</v>
      </c>
      <c r="G145" s="3" t="s">
        <v>356</v>
      </c>
      <c r="H145" s="32" t="s">
        <v>1124</v>
      </c>
      <c r="I145" s="3" t="s">
        <v>25</v>
      </c>
      <c r="J145" s="1" t="s">
        <v>405</v>
      </c>
      <c r="K145" s="4">
        <v>91201685</v>
      </c>
      <c r="L145" s="58" t="s">
        <v>1161</v>
      </c>
      <c r="M145" s="4" t="s">
        <v>1158</v>
      </c>
      <c r="N145" s="58" t="s">
        <v>1123</v>
      </c>
      <c r="O145" s="5">
        <v>17</v>
      </c>
      <c r="P145" s="5">
        <v>4500</v>
      </c>
      <c r="Q145" s="5">
        <v>76500</v>
      </c>
      <c r="R145" s="5" t="s">
        <v>1145</v>
      </c>
      <c r="S145" s="3" t="s">
        <v>406</v>
      </c>
      <c r="T145" s="3"/>
      <c r="U145" s="1"/>
    </row>
    <row r="146" spans="1:21" ht="16.899999999999999" x14ac:dyDescent="0.4">
      <c r="A146" s="62" t="s">
        <v>1147</v>
      </c>
      <c r="B146" s="2">
        <v>44725</v>
      </c>
      <c r="C146" s="1" t="s">
        <v>29</v>
      </c>
      <c r="D146" s="3" t="s">
        <v>407</v>
      </c>
      <c r="E146" s="2">
        <v>44803</v>
      </c>
      <c r="F146" s="3" t="s">
        <v>471</v>
      </c>
      <c r="G146" s="3" t="s">
        <v>81</v>
      </c>
      <c r="H146" s="32" t="s">
        <v>1124</v>
      </c>
      <c r="I146" s="3" t="s">
        <v>408</v>
      </c>
      <c r="J146" s="1" t="s">
        <v>64</v>
      </c>
      <c r="K146" s="4" t="s">
        <v>409</v>
      </c>
      <c r="L146" s="58" t="s">
        <v>1161</v>
      </c>
      <c r="M146" s="4" t="s">
        <v>1157</v>
      </c>
      <c r="N146" s="58" t="s">
        <v>1123</v>
      </c>
      <c r="O146" s="5">
        <v>10.9</v>
      </c>
      <c r="P146" s="5">
        <v>5090</v>
      </c>
      <c r="Q146" s="5">
        <v>55481</v>
      </c>
      <c r="R146" s="5" t="s">
        <v>1122</v>
      </c>
      <c r="S146" s="3" t="s">
        <v>410</v>
      </c>
      <c r="T146" s="3"/>
      <c r="U146" s="1"/>
    </row>
    <row r="147" spans="1:21" ht="16.899999999999999" x14ac:dyDescent="0.4">
      <c r="A147" s="62" t="s">
        <v>1147</v>
      </c>
      <c r="B147" s="2">
        <v>44732</v>
      </c>
      <c r="C147" s="1" t="s">
        <v>29</v>
      </c>
      <c r="D147" s="3" t="s">
        <v>411</v>
      </c>
      <c r="E147" s="2">
        <v>44784</v>
      </c>
      <c r="F147" s="3" t="s">
        <v>471</v>
      </c>
      <c r="G147" s="3" t="s">
        <v>81</v>
      </c>
      <c r="H147" s="32" t="s">
        <v>1124</v>
      </c>
      <c r="I147" s="3" t="s">
        <v>57</v>
      </c>
      <c r="J147" s="1" t="s">
        <v>413</v>
      </c>
      <c r="K147" s="4" t="s">
        <v>412</v>
      </c>
      <c r="L147" s="58" t="s">
        <v>1161</v>
      </c>
      <c r="M147" s="4" t="s">
        <v>1157</v>
      </c>
      <c r="N147" s="58" t="s">
        <v>1123</v>
      </c>
      <c r="O147" s="5">
        <v>12.5</v>
      </c>
      <c r="P147" s="5">
        <v>100</v>
      </c>
      <c r="Q147" s="5">
        <v>1250</v>
      </c>
      <c r="R147" s="5" t="s">
        <v>1122</v>
      </c>
      <c r="S147" s="3" t="s">
        <v>414</v>
      </c>
      <c r="T147" s="3"/>
      <c r="U147" s="1"/>
    </row>
    <row r="148" spans="1:21" ht="16.899999999999999" x14ac:dyDescent="0.4">
      <c r="A148" s="62" t="s">
        <v>1147</v>
      </c>
      <c r="B148" s="2">
        <v>44740</v>
      </c>
      <c r="C148" s="1" t="s">
        <v>29</v>
      </c>
      <c r="D148" s="3" t="s">
        <v>415</v>
      </c>
      <c r="E148" s="2">
        <v>44811</v>
      </c>
      <c r="F148" s="3" t="s">
        <v>471</v>
      </c>
      <c r="G148" s="3" t="s">
        <v>81</v>
      </c>
      <c r="H148" s="32" t="s">
        <v>1124</v>
      </c>
      <c r="I148" s="3" t="s">
        <v>31</v>
      </c>
      <c r="J148" s="1" t="s">
        <v>41</v>
      </c>
      <c r="K148" s="4" t="s">
        <v>157</v>
      </c>
      <c r="L148" s="58" t="s">
        <v>1160</v>
      </c>
      <c r="M148" s="4" t="s">
        <v>1157</v>
      </c>
      <c r="N148" s="58" t="s">
        <v>1123</v>
      </c>
      <c r="O148" s="5">
        <v>8.1</v>
      </c>
      <c r="P148" s="5">
        <v>750</v>
      </c>
      <c r="Q148" s="5">
        <v>6075</v>
      </c>
      <c r="R148" s="5" t="s">
        <v>1122</v>
      </c>
      <c r="S148" s="3" t="s">
        <v>416</v>
      </c>
      <c r="T148" s="3"/>
      <c r="U148" s="1"/>
    </row>
    <row r="149" spans="1:21" ht="16.899999999999999" x14ac:dyDescent="0.4">
      <c r="A149" s="62" t="s">
        <v>1147</v>
      </c>
      <c r="B149" s="2">
        <v>44740</v>
      </c>
      <c r="C149" s="1" t="s">
        <v>0</v>
      </c>
      <c r="D149" s="3" t="s">
        <v>417</v>
      </c>
      <c r="E149" s="2">
        <v>44777</v>
      </c>
      <c r="F149" s="3" t="s">
        <v>1140</v>
      </c>
      <c r="G149" s="3" t="s">
        <v>356</v>
      </c>
      <c r="H149" s="32" t="s">
        <v>1124</v>
      </c>
      <c r="I149" s="3" t="s">
        <v>25</v>
      </c>
      <c r="J149" s="1" t="s">
        <v>418</v>
      </c>
      <c r="L149" s="58" t="s">
        <v>1161</v>
      </c>
      <c r="M149" s="4" t="s">
        <v>1158</v>
      </c>
      <c r="N149" s="58" t="s">
        <v>1123</v>
      </c>
      <c r="O149" s="5">
        <v>17</v>
      </c>
      <c r="P149" s="5">
        <v>1000</v>
      </c>
      <c r="Q149" s="5">
        <v>17000</v>
      </c>
      <c r="R149" s="5" t="s">
        <v>1145</v>
      </c>
      <c r="S149" s="3" t="s">
        <v>419</v>
      </c>
      <c r="T149" s="3"/>
      <c r="U149" s="1"/>
    </row>
    <row r="150" spans="1:21" ht="16.899999999999999" x14ac:dyDescent="0.4">
      <c r="A150" s="62" t="s">
        <v>1147</v>
      </c>
      <c r="B150" s="2">
        <v>44743</v>
      </c>
      <c r="C150" s="1" t="s">
        <v>29</v>
      </c>
      <c r="D150" s="3" t="s">
        <v>420</v>
      </c>
      <c r="E150" s="2">
        <v>44811</v>
      </c>
      <c r="F150" s="3" t="s">
        <v>471</v>
      </c>
      <c r="G150" s="3" t="s">
        <v>81</v>
      </c>
      <c r="H150" s="32" t="s">
        <v>1124</v>
      </c>
      <c r="I150" s="3" t="s">
        <v>25</v>
      </c>
      <c r="J150" s="1" t="s">
        <v>41</v>
      </c>
      <c r="K150" s="4" t="s">
        <v>181</v>
      </c>
      <c r="L150" s="58" t="s">
        <v>1161</v>
      </c>
      <c r="M150" s="4" t="s">
        <v>1157</v>
      </c>
      <c r="N150" s="58" t="s">
        <v>1123</v>
      </c>
      <c r="O150" s="5">
        <v>12.3</v>
      </c>
      <c r="P150" s="5">
        <v>500</v>
      </c>
      <c r="Q150" s="5">
        <v>6150</v>
      </c>
      <c r="R150" s="5" t="s">
        <v>1122</v>
      </c>
      <c r="S150" s="3" t="s">
        <v>421</v>
      </c>
      <c r="T150" s="3"/>
      <c r="U150" s="1"/>
    </row>
    <row r="151" spans="1:21" ht="16.899999999999999" x14ac:dyDescent="0.4">
      <c r="A151" s="62" t="s">
        <v>1147</v>
      </c>
      <c r="B151" s="2">
        <v>44743</v>
      </c>
      <c r="C151" s="1" t="s">
        <v>29</v>
      </c>
      <c r="D151" s="3" t="s">
        <v>422</v>
      </c>
      <c r="E151" s="2">
        <v>44811</v>
      </c>
      <c r="F151" s="3" t="s">
        <v>471</v>
      </c>
      <c r="G151" s="3" t="s">
        <v>81</v>
      </c>
      <c r="H151" s="32" t="s">
        <v>1124</v>
      </c>
      <c r="I151" s="3" t="s">
        <v>25</v>
      </c>
      <c r="J151" s="1" t="s">
        <v>70</v>
      </c>
      <c r="K151" s="4" t="s">
        <v>268</v>
      </c>
      <c r="L151" s="58" t="s">
        <v>1161</v>
      </c>
      <c r="M151" s="4" t="s">
        <v>1157</v>
      </c>
      <c r="N151" s="58" t="s">
        <v>1123</v>
      </c>
      <c r="O151" s="5">
        <v>11.2</v>
      </c>
      <c r="P151" s="5">
        <v>3500</v>
      </c>
      <c r="Q151" s="5">
        <v>39200</v>
      </c>
      <c r="R151" s="5" t="s">
        <v>1122</v>
      </c>
      <c r="S151" s="3" t="s">
        <v>423</v>
      </c>
      <c r="T151" s="3"/>
      <c r="U151" s="1"/>
    </row>
    <row r="152" spans="1:21" ht="16.899999999999999" x14ac:dyDescent="0.4">
      <c r="A152" s="62" t="s">
        <v>1147</v>
      </c>
      <c r="B152" s="2">
        <v>44748</v>
      </c>
      <c r="C152" s="1" t="s">
        <v>55</v>
      </c>
      <c r="D152" s="3" t="s">
        <v>424</v>
      </c>
      <c r="E152" s="2">
        <v>44806</v>
      </c>
      <c r="F152" s="3" t="s">
        <v>471</v>
      </c>
      <c r="G152" s="3" t="s">
        <v>356</v>
      </c>
      <c r="H152" s="32" t="s">
        <v>1124</v>
      </c>
      <c r="I152" s="3" t="s">
        <v>425</v>
      </c>
      <c r="J152" s="1" t="s">
        <v>169</v>
      </c>
      <c r="K152" s="4" t="s">
        <v>400</v>
      </c>
      <c r="L152" s="58" t="s">
        <v>1161</v>
      </c>
      <c r="M152" s="4" t="s">
        <v>1159</v>
      </c>
      <c r="N152" s="58" t="s">
        <v>1123</v>
      </c>
      <c r="O152" s="5">
        <v>15.5</v>
      </c>
      <c r="P152" s="5">
        <v>500</v>
      </c>
      <c r="Q152" s="5">
        <v>7750</v>
      </c>
      <c r="R152" s="5" t="s">
        <v>1145</v>
      </c>
      <c r="S152" s="3" t="s">
        <v>239</v>
      </c>
      <c r="T152" s="3"/>
      <c r="U152" s="1"/>
    </row>
    <row r="153" spans="1:21" ht="16.899999999999999" x14ac:dyDescent="0.4">
      <c r="A153" s="62" t="s">
        <v>1147</v>
      </c>
      <c r="B153" s="2">
        <v>44748</v>
      </c>
      <c r="C153" s="1" t="s">
        <v>55</v>
      </c>
      <c r="D153" s="3" t="s">
        <v>424</v>
      </c>
      <c r="E153" s="2">
        <v>44806</v>
      </c>
      <c r="F153" s="3" t="s">
        <v>471</v>
      </c>
      <c r="G153" s="3" t="s">
        <v>356</v>
      </c>
      <c r="H153" s="32" t="s">
        <v>1124</v>
      </c>
      <c r="I153" s="3" t="s">
        <v>426</v>
      </c>
      <c r="J153" s="1" t="s">
        <v>427</v>
      </c>
      <c r="K153" s="4" t="s">
        <v>196</v>
      </c>
      <c r="L153" s="58" t="s">
        <v>1161</v>
      </c>
      <c r="M153" s="4" t="s">
        <v>1159</v>
      </c>
      <c r="N153" s="58" t="s">
        <v>1123</v>
      </c>
      <c r="O153" s="5">
        <v>13.58</v>
      </c>
      <c r="P153" s="5">
        <v>250</v>
      </c>
      <c r="Q153" s="5">
        <v>3395</v>
      </c>
      <c r="R153" s="5" t="s">
        <v>1145</v>
      </c>
      <c r="S153" s="3" t="s">
        <v>428</v>
      </c>
      <c r="T153" s="3"/>
      <c r="U153" s="1"/>
    </row>
    <row r="154" spans="1:21" ht="16.899999999999999" x14ac:dyDescent="0.4">
      <c r="A154" s="62" t="s">
        <v>1147</v>
      </c>
      <c r="B154" s="2">
        <v>44759</v>
      </c>
      <c r="C154" s="1" t="s">
        <v>0</v>
      </c>
      <c r="D154" s="3" t="s">
        <v>429</v>
      </c>
      <c r="E154" s="2">
        <v>44827</v>
      </c>
      <c r="F154" s="3" t="s">
        <v>471</v>
      </c>
      <c r="G154" s="3" t="s">
        <v>356</v>
      </c>
      <c r="H154" s="32" t="s">
        <v>1124</v>
      </c>
      <c r="I154" s="3" t="s">
        <v>25</v>
      </c>
      <c r="J154" s="1" t="s">
        <v>59</v>
      </c>
      <c r="K154" s="4" t="s">
        <v>430</v>
      </c>
      <c r="L154" s="58" t="s">
        <v>1161</v>
      </c>
      <c r="M154" s="4" t="s">
        <v>1158</v>
      </c>
      <c r="N154" s="58" t="s">
        <v>1123</v>
      </c>
      <c r="O154" s="5">
        <v>14.5</v>
      </c>
      <c r="P154" s="5">
        <v>1800</v>
      </c>
      <c r="Q154" s="5">
        <v>26100</v>
      </c>
      <c r="R154" s="5" t="s">
        <v>1145</v>
      </c>
      <c r="S154" s="3" t="s">
        <v>431</v>
      </c>
      <c r="T154" s="3"/>
      <c r="U154" s="1"/>
    </row>
    <row r="155" spans="1:21" ht="16.899999999999999" x14ac:dyDescent="0.4">
      <c r="A155" s="62" t="s">
        <v>1147</v>
      </c>
      <c r="B155" s="2">
        <v>44803</v>
      </c>
      <c r="C155" s="1" t="s">
        <v>55</v>
      </c>
      <c r="D155" s="3" t="s">
        <v>432</v>
      </c>
      <c r="E155" s="2">
        <v>44851</v>
      </c>
      <c r="F155" s="3" t="s">
        <v>503</v>
      </c>
      <c r="G155" s="3" t="s">
        <v>356</v>
      </c>
      <c r="H155" s="32" t="s">
        <v>1124</v>
      </c>
      <c r="I155" s="3" t="s">
        <v>425</v>
      </c>
      <c r="J155" s="1" t="s">
        <v>155</v>
      </c>
      <c r="K155" s="4" t="s">
        <v>433</v>
      </c>
      <c r="L155" s="58" t="s">
        <v>1161</v>
      </c>
      <c r="M155" s="4" t="s">
        <v>1159</v>
      </c>
      <c r="N155" s="58" t="s">
        <v>1123</v>
      </c>
      <c r="O155" s="5">
        <v>15.5</v>
      </c>
      <c r="P155" s="5">
        <v>2500</v>
      </c>
      <c r="Q155" s="5">
        <v>38750</v>
      </c>
      <c r="R155" s="5" t="s">
        <v>1145</v>
      </c>
      <c r="S155" s="3" t="s">
        <v>434</v>
      </c>
      <c r="T155" s="3"/>
      <c r="U155" s="1"/>
    </row>
    <row r="156" spans="1:21" ht="16.899999999999999" x14ac:dyDescent="0.4">
      <c r="A156" s="62" t="s">
        <v>1147</v>
      </c>
      <c r="B156" s="2">
        <v>44817</v>
      </c>
      <c r="C156" s="1" t="s">
        <v>160</v>
      </c>
      <c r="D156" s="3" t="s">
        <v>435</v>
      </c>
      <c r="E156" s="2">
        <v>44854</v>
      </c>
      <c r="F156" s="3" t="s">
        <v>471</v>
      </c>
      <c r="G156" s="3" t="s">
        <v>1125</v>
      </c>
      <c r="H156" s="32" t="s">
        <v>1124</v>
      </c>
      <c r="I156" s="3" t="s">
        <v>57</v>
      </c>
      <c r="J156" s="1" t="s">
        <v>163</v>
      </c>
      <c r="K156" s="4" t="s">
        <v>162</v>
      </c>
      <c r="L156" s="58" t="s">
        <v>1161</v>
      </c>
      <c r="M156" s="4" t="s">
        <v>1151</v>
      </c>
      <c r="N156" s="58" t="s">
        <v>1123</v>
      </c>
      <c r="O156" s="5">
        <v>18.3</v>
      </c>
      <c r="P156" s="5">
        <v>300</v>
      </c>
      <c r="Q156" s="5">
        <v>5490</v>
      </c>
      <c r="R156" s="5" t="s">
        <v>1145</v>
      </c>
      <c r="S156" s="3" t="s">
        <v>436</v>
      </c>
      <c r="T156" s="3"/>
      <c r="U156" s="1"/>
    </row>
    <row r="157" spans="1:21" ht="16.899999999999999" x14ac:dyDescent="0.4">
      <c r="A157" s="62" t="s">
        <v>1147</v>
      </c>
      <c r="B157" s="2">
        <v>44824</v>
      </c>
      <c r="C157" s="1" t="s">
        <v>0</v>
      </c>
      <c r="D157" s="3" t="s">
        <v>437</v>
      </c>
      <c r="E157" s="2">
        <v>44893</v>
      </c>
      <c r="F157" s="3" t="s">
        <v>471</v>
      </c>
      <c r="G157" s="3" t="s">
        <v>356</v>
      </c>
      <c r="H157" s="32" t="s">
        <v>1124</v>
      </c>
      <c r="I157" s="3" t="s">
        <v>439</v>
      </c>
      <c r="J157" s="1" t="s">
        <v>440</v>
      </c>
      <c r="K157" s="4">
        <v>20220919</v>
      </c>
      <c r="L157" s="58" t="s">
        <v>1161</v>
      </c>
      <c r="M157" s="4" t="s">
        <v>1158</v>
      </c>
      <c r="N157" s="58" t="s">
        <v>1123</v>
      </c>
      <c r="O157" s="5">
        <v>27.5</v>
      </c>
      <c r="P157" s="5">
        <v>1200</v>
      </c>
      <c r="Q157" s="5">
        <v>33000</v>
      </c>
      <c r="R157" s="5" t="s">
        <v>1145</v>
      </c>
      <c r="S157" s="9" t="s">
        <v>441</v>
      </c>
      <c r="T157" s="3"/>
      <c r="U157" s="1"/>
    </row>
    <row r="158" spans="1:21" ht="16.899999999999999" x14ac:dyDescent="0.4">
      <c r="A158" s="62" t="s">
        <v>1147</v>
      </c>
      <c r="B158" s="2">
        <v>44834</v>
      </c>
      <c r="C158" s="1" t="s">
        <v>29</v>
      </c>
      <c r="D158" s="3" t="s">
        <v>442</v>
      </c>
      <c r="E158" s="2">
        <v>44887</v>
      </c>
      <c r="F158" s="3" t="s">
        <v>649</v>
      </c>
      <c r="G158" s="3" t="s">
        <v>81</v>
      </c>
      <c r="H158" s="32" t="s">
        <v>1124</v>
      </c>
      <c r="I158" s="3" t="s">
        <v>31</v>
      </c>
      <c r="J158" s="1" t="s">
        <v>78</v>
      </c>
      <c r="K158" s="4" t="s">
        <v>77</v>
      </c>
      <c r="L158" s="58" t="s">
        <v>1160</v>
      </c>
      <c r="M158" s="4" t="s">
        <v>1157</v>
      </c>
      <c r="N158" s="58" t="s">
        <v>1123</v>
      </c>
      <c r="O158" s="5">
        <v>9.9</v>
      </c>
      <c r="P158" s="5">
        <v>200</v>
      </c>
      <c r="Q158" s="5">
        <v>1980</v>
      </c>
      <c r="R158" s="5" t="s">
        <v>1122</v>
      </c>
      <c r="S158" s="3" t="s">
        <v>443</v>
      </c>
      <c r="T158" s="3"/>
      <c r="U158" s="1"/>
    </row>
    <row r="159" spans="1:21" ht="16.899999999999999" x14ac:dyDescent="0.4">
      <c r="A159" s="62" t="s">
        <v>1147</v>
      </c>
      <c r="B159" s="2">
        <v>44834</v>
      </c>
      <c r="C159" s="1" t="s">
        <v>29</v>
      </c>
      <c r="D159" s="3" t="s">
        <v>444</v>
      </c>
      <c r="E159" s="2">
        <v>44887</v>
      </c>
      <c r="F159" s="3" t="s">
        <v>471</v>
      </c>
      <c r="G159" s="3" t="s">
        <v>81</v>
      </c>
      <c r="H159" s="32" t="s">
        <v>1124</v>
      </c>
      <c r="I159" s="3" t="s">
        <v>57</v>
      </c>
      <c r="J159" s="1" t="s">
        <v>260</v>
      </c>
      <c r="K159" s="4" t="s">
        <v>259</v>
      </c>
      <c r="L159" s="58" t="s">
        <v>1161</v>
      </c>
      <c r="M159" s="4" t="s">
        <v>1157</v>
      </c>
      <c r="N159" s="58" t="s">
        <v>1123</v>
      </c>
      <c r="O159" s="5">
        <v>8</v>
      </c>
      <c r="P159" s="5">
        <v>30</v>
      </c>
      <c r="Q159" s="5">
        <v>240</v>
      </c>
      <c r="R159" s="5" t="s">
        <v>1122</v>
      </c>
      <c r="S159" s="3" t="s">
        <v>445</v>
      </c>
      <c r="T159" s="3"/>
      <c r="U159" s="1"/>
    </row>
    <row r="160" spans="1:21" ht="16.899999999999999" x14ac:dyDescent="0.4">
      <c r="A160" s="62" t="s">
        <v>1147</v>
      </c>
      <c r="B160" s="2">
        <v>44834</v>
      </c>
      <c r="C160" s="1" t="s">
        <v>29</v>
      </c>
      <c r="D160" s="3" t="s">
        <v>446</v>
      </c>
      <c r="E160" s="2">
        <v>44887</v>
      </c>
      <c r="F160" s="3" t="s">
        <v>471</v>
      </c>
      <c r="G160" s="3" t="s">
        <v>81</v>
      </c>
      <c r="H160" s="32" t="s">
        <v>1124</v>
      </c>
      <c r="I160" s="3" t="s">
        <v>25</v>
      </c>
      <c r="J160" s="1" t="s">
        <v>41</v>
      </c>
      <c r="K160" s="4" t="s">
        <v>181</v>
      </c>
      <c r="L160" s="58" t="s">
        <v>1161</v>
      </c>
      <c r="M160" s="4" t="s">
        <v>1157</v>
      </c>
      <c r="N160" s="58" t="s">
        <v>1123</v>
      </c>
      <c r="O160" s="5">
        <v>12.3</v>
      </c>
      <c r="P160" s="5">
        <v>3500</v>
      </c>
      <c r="Q160" s="5">
        <v>43050</v>
      </c>
      <c r="R160" s="5" t="s">
        <v>1122</v>
      </c>
      <c r="S160" s="3" t="s">
        <v>447</v>
      </c>
      <c r="T160" s="3"/>
      <c r="U160" s="1"/>
    </row>
    <row r="161" spans="1:21" ht="16.899999999999999" x14ac:dyDescent="0.4">
      <c r="A161" s="62" t="s">
        <v>1147</v>
      </c>
      <c r="B161" s="2">
        <v>44839</v>
      </c>
      <c r="C161" s="1" t="s">
        <v>29</v>
      </c>
      <c r="D161" s="3" t="s">
        <v>448</v>
      </c>
      <c r="E161" s="2">
        <v>44887</v>
      </c>
      <c r="F161" s="3" t="s">
        <v>471</v>
      </c>
      <c r="G161" s="3" t="s">
        <v>81</v>
      </c>
      <c r="H161" s="32" t="s">
        <v>1124</v>
      </c>
      <c r="I161" s="3" t="s">
        <v>25</v>
      </c>
      <c r="J161" s="1" t="s">
        <v>70</v>
      </c>
      <c r="K161" s="4" t="s">
        <v>69</v>
      </c>
      <c r="L161" s="58" t="s">
        <v>1161</v>
      </c>
      <c r="M161" s="4" t="s">
        <v>1157</v>
      </c>
      <c r="N161" s="58" t="s">
        <v>1123</v>
      </c>
      <c r="O161" s="5">
        <v>10.9</v>
      </c>
      <c r="P161" s="5">
        <v>750</v>
      </c>
      <c r="Q161" s="5">
        <v>8175</v>
      </c>
      <c r="R161" s="5" t="s">
        <v>1122</v>
      </c>
      <c r="S161" s="3" t="s">
        <v>449</v>
      </c>
      <c r="T161" s="3"/>
      <c r="U161" s="1"/>
    </row>
    <row r="162" spans="1:21" ht="16.899999999999999" x14ac:dyDescent="0.4">
      <c r="A162" s="62" t="s">
        <v>1147</v>
      </c>
      <c r="B162" s="2">
        <v>44859</v>
      </c>
      <c r="C162" s="1" t="s">
        <v>29</v>
      </c>
      <c r="D162" s="3" t="s">
        <v>450</v>
      </c>
      <c r="E162" s="2">
        <v>44887</v>
      </c>
      <c r="F162" s="3" t="s">
        <v>471</v>
      </c>
      <c r="G162" s="3" t="s">
        <v>81</v>
      </c>
      <c r="H162" s="32" t="s">
        <v>1124</v>
      </c>
      <c r="I162" s="3" t="s">
        <v>372</v>
      </c>
      <c r="J162" s="1" t="s">
        <v>373</v>
      </c>
      <c r="K162" s="4">
        <v>200160</v>
      </c>
      <c r="L162" s="58" t="s">
        <v>1160</v>
      </c>
      <c r="M162" s="4" t="s">
        <v>1157</v>
      </c>
      <c r="N162" s="58" t="s">
        <v>1123</v>
      </c>
      <c r="O162" s="5">
        <v>19.5</v>
      </c>
      <c r="P162" s="5">
        <v>200</v>
      </c>
      <c r="Q162" s="5">
        <v>3900</v>
      </c>
      <c r="R162" s="5" t="s">
        <v>1122</v>
      </c>
      <c r="S162" s="3" t="s">
        <v>451</v>
      </c>
      <c r="T162" s="3"/>
      <c r="U162" s="1"/>
    </row>
    <row r="163" spans="1:21" ht="16.899999999999999" x14ac:dyDescent="0.4">
      <c r="A163" s="62" t="s">
        <v>1147</v>
      </c>
      <c r="B163" s="2">
        <v>44888</v>
      </c>
      <c r="C163" s="1" t="s">
        <v>29</v>
      </c>
      <c r="D163" s="3" t="s">
        <v>452</v>
      </c>
      <c r="E163" s="2">
        <v>44985</v>
      </c>
      <c r="F163" s="3" t="s">
        <v>471</v>
      </c>
      <c r="G163" s="3" t="s">
        <v>81</v>
      </c>
      <c r="H163" s="32" t="s">
        <v>1124</v>
      </c>
      <c r="I163" s="3" t="s">
        <v>408</v>
      </c>
      <c r="J163" s="1" t="s">
        <v>454</v>
      </c>
      <c r="K163" s="4" t="s">
        <v>453</v>
      </c>
      <c r="L163" s="58" t="s">
        <v>1161</v>
      </c>
      <c r="M163" s="4" t="s">
        <v>1157</v>
      </c>
      <c r="N163" s="58" t="s">
        <v>1123</v>
      </c>
      <c r="O163" s="5">
        <v>12.3</v>
      </c>
      <c r="P163" s="5">
        <v>250</v>
      </c>
      <c r="Q163" s="5">
        <v>3075</v>
      </c>
      <c r="R163" s="5" t="s">
        <v>1122</v>
      </c>
      <c r="S163" s="3" t="s">
        <v>455</v>
      </c>
      <c r="T163" s="3"/>
      <c r="U163" s="1"/>
    </row>
    <row r="164" spans="1:21" ht="16.899999999999999" x14ac:dyDescent="0.4">
      <c r="A164" s="62" t="s">
        <v>1147</v>
      </c>
      <c r="B164" s="2">
        <v>44901</v>
      </c>
      <c r="C164" s="1" t="s">
        <v>29</v>
      </c>
      <c r="D164" s="3" t="s">
        <v>456</v>
      </c>
      <c r="E164" s="2">
        <v>44985</v>
      </c>
      <c r="F164" s="3" t="s">
        <v>471</v>
      </c>
      <c r="G164" s="3" t="s">
        <v>81</v>
      </c>
      <c r="H164" s="32" t="s">
        <v>1124</v>
      </c>
      <c r="I164" s="3" t="s">
        <v>408</v>
      </c>
      <c r="J164" s="1" t="s">
        <v>454</v>
      </c>
      <c r="K164" s="4" t="s">
        <v>457</v>
      </c>
      <c r="L164" s="58" t="s">
        <v>1161</v>
      </c>
      <c r="M164" s="4" t="s">
        <v>1157</v>
      </c>
      <c r="N164" s="58" t="s">
        <v>1123</v>
      </c>
      <c r="O164" s="5">
        <v>12.3</v>
      </c>
      <c r="P164" s="5">
        <v>3320</v>
      </c>
      <c r="Q164" s="5">
        <v>40836</v>
      </c>
      <c r="R164" s="5" t="s">
        <v>1122</v>
      </c>
      <c r="S164" s="3" t="s">
        <v>458</v>
      </c>
      <c r="T164" s="3"/>
      <c r="U164" s="1"/>
    </row>
    <row r="165" spans="1:21" ht="16.899999999999999" x14ac:dyDescent="0.4">
      <c r="A165" s="62" t="s">
        <v>1147</v>
      </c>
      <c r="B165" s="2">
        <v>44901</v>
      </c>
      <c r="C165" s="1" t="s">
        <v>0</v>
      </c>
      <c r="D165" s="3" t="s">
        <v>459</v>
      </c>
      <c r="E165" s="2">
        <v>44985</v>
      </c>
      <c r="F165" s="3" t="s">
        <v>1140</v>
      </c>
      <c r="G165" s="3" t="s">
        <v>356</v>
      </c>
      <c r="H165" s="32" t="s">
        <v>1124</v>
      </c>
      <c r="I165" s="3" t="s">
        <v>408</v>
      </c>
      <c r="J165" s="1" t="s">
        <v>460</v>
      </c>
      <c r="K165" s="4" t="s">
        <v>430</v>
      </c>
      <c r="L165" s="58" t="s">
        <v>1161</v>
      </c>
      <c r="M165" s="4" t="s">
        <v>1158</v>
      </c>
      <c r="N165" s="58" t="s">
        <v>1123</v>
      </c>
      <c r="O165" s="5">
        <v>18.48</v>
      </c>
      <c r="P165" s="5">
        <v>2000</v>
      </c>
      <c r="Q165" s="5">
        <v>36960</v>
      </c>
      <c r="R165" s="5" t="s">
        <v>1145</v>
      </c>
      <c r="S165" s="3" t="s">
        <v>461</v>
      </c>
      <c r="T165" s="3"/>
      <c r="U165" s="1"/>
    </row>
    <row r="166" spans="1:21" ht="16.899999999999999" x14ac:dyDescent="0.4">
      <c r="A166" s="62" t="s">
        <v>1147</v>
      </c>
      <c r="B166" s="2">
        <v>44905</v>
      </c>
      <c r="C166" s="1" t="s">
        <v>29</v>
      </c>
      <c r="D166" s="3" t="s">
        <v>465</v>
      </c>
      <c r="E166" s="2">
        <v>44985</v>
      </c>
      <c r="F166" s="3" t="s">
        <v>471</v>
      </c>
      <c r="G166" s="3" t="s">
        <v>81</v>
      </c>
      <c r="H166" s="32" t="s">
        <v>1124</v>
      </c>
      <c r="I166" s="3" t="s">
        <v>408</v>
      </c>
      <c r="J166" s="1" t="s">
        <v>467</v>
      </c>
      <c r="K166" s="4" t="s">
        <v>466</v>
      </c>
      <c r="L166" s="58" t="s">
        <v>1161</v>
      </c>
      <c r="M166" s="4" t="s">
        <v>1157</v>
      </c>
      <c r="N166" s="58" t="s">
        <v>1123</v>
      </c>
      <c r="O166" s="5">
        <v>10.9</v>
      </c>
      <c r="P166" s="5">
        <v>1000</v>
      </c>
      <c r="Q166" s="5">
        <v>10900</v>
      </c>
      <c r="R166" s="5" t="s">
        <v>1122</v>
      </c>
      <c r="S166" s="3" t="s">
        <v>468</v>
      </c>
      <c r="T166" s="3"/>
      <c r="U166" s="1"/>
    </row>
    <row r="167" spans="1:21" ht="16.899999999999999" x14ac:dyDescent="0.4">
      <c r="A167" s="62" t="s">
        <v>1147</v>
      </c>
      <c r="B167" s="2">
        <v>44917</v>
      </c>
      <c r="C167" s="1" t="s">
        <v>469</v>
      </c>
      <c r="D167" s="3" t="s">
        <v>470</v>
      </c>
      <c r="E167" s="2">
        <v>45016</v>
      </c>
      <c r="F167" s="3" t="s">
        <v>471</v>
      </c>
      <c r="G167" s="3" t="s">
        <v>356</v>
      </c>
      <c r="H167" s="32" t="s">
        <v>1124</v>
      </c>
      <c r="I167" s="3" t="s">
        <v>472</v>
      </c>
      <c r="J167" s="1" t="s">
        <v>207</v>
      </c>
      <c r="K167" s="4">
        <v>4320003</v>
      </c>
      <c r="L167" s="58" t="s">
        <v>1161</v>
      </c>
      <c r="M167" s="4" t="s">
        <v>1153</v>
      </c>
      <c r="N167" s="58" t="s">
        <v>1123</v>
      </c>
      <c r="O167" s="5">
        <v>16.2</v>
      </c>
      <c r="P167" s="5">
        <v>500</v>
      </c>
      <c r="Q167" s="5">
        <v>8100</v>
      </c>
      <c r="R167" s="5" t="s">
        <v>1122</v>
      </c>
      <c r="S167" s="3" t="s">
        <v>473</v>
      </c>
      <c r="T167" s="3"/>
      <c r="U167" s="1"/>
    </row>
    <row r="168" spans="1:21" ht="16.899999999999999" x14ac:dyDescent="0.4">
      <c r="A168" s="62" t="s">
        <v>1147</v>
      </c>
      <c r="B168" s="2">
        <v>44931</v>
      </c>
      <c r="C168" s="1" t="s">
        <v>55</v>
      </c>
      <c r="D168" s="3" t="s">
        <v>474</v>
      </c>
      <c r="E168" s="2">
        <v>45016</v>
      </c>
      <c r="F168" s="3" t="s">
        <v>471</v>
      </c>
      <c r="G168" s="3" t="s">
        <v>356</v>
      </c>
      <c r="H168" s="32" t="s">
        <v>1124</v>
      </c>
      <c r="I168" s="3" t="s">
        <v>475</v>
      </c>
      <c r="J168" s="1" t="s">
        <v>460</v>
      </c>
      <c r="K168" s="4" t="s">
        <v>476</v>
      </c>
      <c r="L168" s="58" t="s">
        <v>1161</v>
      </c>
      <c r="M168" s="4" t="s">
        <v>1159</v>
      </c>
      <c r="N168" s="58" t="s">
        <v>1123</v>
      </c>
      <c r="O168" s="5">
        <v>85</v>
      </c>
      <c r="P168" s="5">
        <v>500</v>
      </c>
      <c r="Q168" s="5">
        <v>42500</v>
      </c>
      <c r="R168" s="5" t="s">
        <v>1146</v>
      </c>
      <c r="S168" s="3" t="s">
        <v>477</v>
      </c>
    </row>
    <row r="169" spans="1:21" ht="16.899999999999999" x14ac:dyDescent="0.4">
      <c r="A169" s="62" t="s">
        <v>1147</v>
      </c>
      <c r="B169" s="2">
        <v>44958</v>
      </c>
      <c r="C169" s="1" t="s">
        <v>0</v>
      </c>
      <c r="D169" s="3" t="s">
        <v>462</v>
      </c>
      <c r="E169" s="2">
        <v>44985</v>
      </c>
      <c r="F169" s="3" t="s">
        <v>1140</v>
      </c>
      <c r="G169" s="3" t="s">
        <v>356</v>
      </c>
      <c r="H169" s="32" t="s">
        <v>1124</v>
      </c>
      <c r="I169" s="3" t="s">
        <v>408</v>
      </c>
      <c r="J169" s="1" t="s">
        <v>463</v>
      </c>
      <c r="K169" s="4">
        <v>91201685</v>
      </c>
      <c r="L169" s="58" t="s">
        <v>1161</v>
      </c>
      <c r="M169" s="4" t="s">
        <v>1158</v>
      </c>
      <c r="N169" s="58" t="s">
        <v>1123</v>
      </c>
      <c r="O169" s="5">
        <v>0</v>
      </c>
      <c r="P169" s="5">
        <v>350</v>
      </c>
      <c r="Q169" s="5">
        <v>0</v>
      </c>
      <c r="R169" s="5" t="s">
        <v>1145</v>
      </c>
      <c r="S169" s="3" t="s">
        <v>464</v>
      </c>
    </row>
    <row r="170" spans="1:21" ht="16.899999999999999" x14ac:dyDescent="0.4">
      <c r="A170" s="62" t="s">
        <v>1147</v>
      </c>
      <c r="B170" s="2">
        <v>44959</v>
      </c>
      <c r="C170" s="1" t="s">
        <v>0</v>
      </c>
      <c r="D170" s="3" t="s">
        <v>478</v>
      </c>
      <c r="E170" s="2">
        <v>45016</v>
      </c>
      <c r="F170" s="3" t="s">
        <v>471</v>
      </c>
      <c r="G170" s="3" t="s">
        <v>356</v>
      </c>
      <c r="H170" s="32" t="s">
        <v>1124</v>
      </c>
      <c r="I170" s="3" t="s">
        <v>475</v>
      </c>
      <c r="J170" s="1" t="s">
        <v>232</v>
      </c>
      <c r="K170" s="4" t="s">
        <v>231</v>
      </c>
      <c r="L170" s="58" t="s">
        <v>1161</v>
      </c>
      <c r="M170" s="4" t="s">
        <v>1158</v>
      </c>
      <c r="N170" s="58" t="s">
        <v>1123</v>
      </c>
      <c r="O170" s="5">
        <v>20.8</v>
      </c>
      <c r="P170" s="5">
        <v>300</v>
      </c>
      <c r="Q170" s="5">
        <v>6240</v>
      </c>
      <c r="R170" s="5" t="s">
        <v>1145</v>
      </c>
      <c r="S170" s="3" t="s">
        <v>479</v>
      </c>
    </row>
    <row r="171" spans="1:21" ht="16.899999999999999" x14ac:dyDescent="0.4">
      <c r="A171" s="62" t="s">
        <v>1147</v>
      </c>
      <c r="B171" s="2">
        <v>44960</v>
      </c>
      <c r="C171" s="1" t="s">
        <v>0</v>
      </c>
      <c r="D171" s="3" t="s">
        <v>480</v>
      </c>
      <c r="E171" s="2">
        <v>45016</v>
      </c>
      <c r="F171" s="3" t="s">
        <v>471</v>
      </c>
      <c r="G171" s="3" t="s">
        <v>356</v>
      </c>
      <c r="H171" s="32" t="s">
        <v>1124</v>
      </c>
      <c r="I171" s="3" t="s">
        <v>475</v>
      </c>
      <c r="J171" s="1" t="s">
        <v>481</v>
      </c>
      <c r="K171" s="4">
        <v>19215</v>
      </c>
      <c r="L171" s="58" t="s">
        <v>1161</v>
      </c>
      <c r="M171" s="4" t="s">
        <v>1158</v>
      </c>
      <c r="N171" s="58" t="s">
        <v>1123</v>
      </c>
      <c r="O171" s="5">
        <v>20.399999999999999</v>
      </c>
      <c r="P171" s="5">
        <v>300</v>
      </c>
      <c r="Q171" s="5">
        <v>6120</v>
      </c>
      <c r="R171" s="5" t="s">
        <v>1145</v>
      </c>
      <c r="S171" s="59" t="s">
        <v>482</v>
      </c>
    </row>
    <row r="172" spans="1:21" ht="16.899999999999999" x14ac:dyDescent="0.4">
      <c r="A172" s="62" t="s">
        <v>1147</v>
      </c>
      <c r="B172" s="2">
        <v>44965</v>
      </c>
      <c r="C172" s="1" t="s">
        <v>469</v>
      </c>
      <c r="D172" s="3" t="s">
        <v>483</v>
      </c>
      <c r="E172" s="2">
        <v>45016</v>
      </c>
      <c r="F172" s="3" t="s">
        <v>471</v>
      </c>
      <c r="G172" s="3" t="s">
        <v>356</v>
      </c>
      <c r="H172" s="32" t="s">
        <v>1124</v>
      </c>
      <c r="I172" s="3" t="s">
        <v>475</v>
      </c>
      <c r="J172" s="1" t="s">
        <v>484</v>
      </c>
      <c r="K172" s="4">
        <v>1020434</v>
      </c>
      <c r="L172" s="58" t="s">
        <v>1161</v>
      </c>
      <c r="M172" s="4" t="s">
        <v>1153</v>
      </c>
      <c r="N172" s="58" t="s">
        <v>1123</v>
      </c>
      <c r="O172" s="5">
        <v>13.5</v>
      </c>
      <c r="P172" s="5">
        <v>500</v>
      </c>
      <c r="Q172" s="5">
        <v>6750</v>
      </c>
      <c r="R172" s="5" t="s">
        <v>1122</v>
      </c>
      <c r="S172" s="3" t="s">
        <v>485</v>
      </c>
    </row>
    <row r="173" spans="1:21" ht="16.899999999999999" x14ac:dyDescent="0.4">
      <c r="A173" s="62" t="s">
        <v>1147</v>
      </c>
      <c r="B173" s="2">
        <v>44974</v>
      </c>
      <c r="C173" s="1" t="s">
        <v>29</v>
      </c>
      <c r="D173" s="3" t="s">
        <v>486</v>
      </c>
      <c r="E173" s="6">
        <v>45043</v>
      </c>
      <c r="F173" s="3" t="s">
        <v>471</v>
      </c>
      <c r="G173" s="3" t="s">
        <v>81</v>
      </c>
      <c r="H173" s="32" t="s">
        <v>1124</v>
      </c>
      <c r="I173" s="8" t="s">
        <v>487</v>
      </c>
      <c r="J173" s="1" t="s">
        <v>64</v>
      </c>
      <c r="K173" s="4" t="s">
        <v>488</v>
      </c>
      <c r="L173" s="58" t="s">
        <v>1160</v>
      </c>
      <c r="M173" s="4" t="s">
        <v>1157</v>
      </c>
      <c r="N173" s="58" t="s">
        <v>1123</v>
      </c>
      <c r="O173" s="5">
        <v>12</v>
      </c>
      <c r="P173" s="5">
        <v>250</v>
      </c>
      <c r="Q173" s="5">
        <v>3000</v>
      </c>
      <c r="R173" s="5" t="s">
        <v>1122</v>
      </c>
      <c r="S173" s="3" t="s">
        <v>489</v>
      </c>
    </row>
    <row r="174" spans="1:21" ht="16.899999999999999" x14ac:dyDescent="0.4">
      <c r="A174" s="62" t="s">
        <v>1147</v>
      </c>
      <c r="B174" s="2">
        <v>44974</v>
      </c>
      <c r="C174" s="1" t="s">
        <v>29</v>
      </c>
      <c r="D174" s="3" t="s">
        <v>490</v>
      </c>
      <c r="E174" s="6">
        <v>45043</v>
      </c>
      <c r="F174" s="3" t="s">
        <v>471</v>
      </c>
      <c r="G174" s="3" t="s">
        <v>81</v>
      </c>
      <c r="H174" s="32" t="s">
        <v>1124</v>
      </c>
      <c r="I174" s="3" t="s">
        <v>230</v>
      </c>
      <c r="J174" s="1" t="s">
        <v>492</v>
      </c>
      <c r="K174" s="4" t="s">
        <v>491</v>
      </c>
      <c r="L174" s="58" t="s">
        <v>1161</v>
      </c>
      <c r="M174" s="4" t="s">
        <v>1157</v>
      </c>
      <c r="N174" s="58" t="s">
        <v>1123</v>
      </c>
      <c r="O174" s="5">
        <v>11.9</v>
      </c>
      <c r="P174" s="5">
        <v>1500</v>
      </c>
      <c r="Q174" s="5">
        <v>17850</v>
      </c>
      <c r="R174" s="5" t="s">
        <v>1122</v>
      </c>
      <c r="S174" s="3" t="s">
        <v>493</v>
      </c>
    </row>
    <row r="175" spans="1:21" ht="16.899999999999999" x14ac:dyDescent="0.4">
      <c r="A175" s="62" t="s">
        <v>1147</v>
      </c>
      <c r="B175" s="2">
        <v>44974</v>
      </c>
      <c r="C175" s="1" t="s">
        <v>29</v>
      </c>
      <c r="D175" s="3" t="s">
        <v>494</v>
      </c>
      <c r="E175" s="6">
        <v>45043</v>
      </c>
      <c r="F175" s="3" t="s">
        <v>471</v>
      </c>
      <c r="G175" s="3" t="s">
        <v>81</v>
      </c>
      <c r="H175" s="32" t="s">
        <v>1124</v>
      </c>
      <c r="I175" s="8" t="s">
        <v>495</v>
      </c>
      <c r="J175" s="1" t="s">
        <v>463</v>
      </c>
      <c r="K175" s="4" t="s">
        <v>496</v>
      </c>
      <c r="L175" s="58" t="s">
        <v>1160</v>
      </c>
      <c r="M175" s="4" t="s">
        <v>1157</v>
      </c>
      <c r="N175" s="58" t="s">
        <v>1123</v>
      </c>
      <c r="O175" s="5">
        <v>9.5</v>
      </c>
      <c r="P175" s="5">
        <v>100</v>
      </c>
      <c r="Q175" s="5">
        <v>950</v>
      </c>
      <c r="R175" s="5" t="s">
        <v>1122</v>
      </c>
      <c r="S175" s="3" t="s">
        <v>497</v>
      </c>
    </row>
    <row r="176" spans="1:21" ht="16.899999999999999" x14ac:dyDescent="0.4">
      <c r="A176" s="62" t="s">
        <v>1147</v>
      </c>
      <c r="B176" s="2">
        <v>44974</v>
      </c>
      <c r="C176" s="1" t="s">
        <v>29</v>
      </c>
      <c r="D176" s="3" t="s">
        <v>498</v>
      </c>
      <c r="E176" s="6">
        <v>45043</v>
      </c>
      <c r="F176" s="3" t="s">
        <v>471</v>
      </c>
      <c r="G176" s="3" t="s">
        <v>81</v>
      </c>
      <c r="H176" s="32" t="s">
        <v>1124</v>
      </c>
      <c r="I176" s="8" t="s">
        <v>487</v>
      </c>
      <c r="J176" s="1" t="s">
        <v>64</v>
      </c>
      <c r="K176" s="4" t="s">
        <v>499</v>
      </c>
      <c r="L176" s="58" t="s">
        <v>1160</v>
      </c>
      <c r="M176" s="4" t="s">
        <v>1157</v>
      </c>
      <c r="N176" s="58" t="s">
        <v>1123</v>
      </c>
      <c r="O176" s="5">
        <v>15</v>
      </c>
      <c r="P176" s="5">
        <v>200</v>
      </c>
      <c r="Q176" s="5">
        <v>3000</v>
      </c>
      <c r="R176" s="5" t="s">
        <v>1122</v>
      </c>
      <c r="S176" s="3" t="s">
        <v>500</v>
      </c>
    </row>
    <row r="177" spans="1:19" ht="16.899999999999999" x14ac:dyDescent="0.4">
      <c r="A177" s="62" t="s">
        <v>1147</v>
      </c>
      <c r="B177" s="2">
        <v>44978</v>
      </c>
      <c r="C177" s="1" t="s">
        <v>501</v>
      </c>
      <c r="D177" s="3" t="s">
        <v>502</v>
      </c>
      <c r="E177" s="2">
        <v>45026</v>
      </c>
      <c r="F177" s="3" t="s">
        <v>503</v>
      </c>
      <c r="G177" s="3" t="s">
        <v>356</v>
      </c>
      <c r="H177" s="32" t="s">
        <v>1124</v>
      </c>
      <c r="I177" s="3" t="s">
        <v>504</v>
      </c>
      <c r="J177" s="1" t="s">
        <v>467</v>
      </c>
      <c r="K177" s="4" t="s">
        <v>430</v>
      </c>
      <c r="L177" s="58" t="s">
        <v>1161</v>
      </c>
      <c r="M177" s="4" t="s">
        <v>1151</v>
      </c>
      <c r="N177" s="58" t="s">
        <v>1123</v>
      </c>
      <c r="O177" s="5">
        <v>84.75</v>
      </c>
      <c r="P177" s="5">
        <v>600</v>
      </c>
      <c r="Q177" s="5">
        <v>50850</v>
      </c>
      <c r="R177" s="5" t="s">
        <v>1146</v>
      </c>
      <c r="S177" s="3" t="s">
        <v>505</v>
      </c>
    </row>
    <row r="178" spans="1:19" ht="16.899999999999999" x14ac:dyDescent="0.4">
      <c r="A178" s="62" t="s">
        <v>1147</v>
      </c>
      <c r="B178" s="2">
        <v>44979</v>
      </c>
      <c r="C178" s="1" t="s">
        <v>506</v>
      </c>
      <c r="D178" s="3" t="s">
        <v>507</v>
      </c>
      <c r="E178" s="2">
        <v>45016</v>
      </c>
      <c r="F178" s="3" t="s">
        <v>1140</v>
      </c>
      <c r="G178" s="3" t="s">
        <v>1125</v>
      </c>
      <c r="H178" s="32" t="s">
        <v>1124</v>
      </c>
      <c r="I178" s="3" t="s">
        <v>475</v>
      </c>
      <c r="J178" s="1" t="s">
        <v>509</v>
      </c>
      <c r="K178" s="4" t="s">
        <v>508</v>
      </c>
      <c r="L178" s="58" t="s">
        <v>1161</v>
      </c>
      <c r="M178" s="4" t="s">
        <v>1151</v>
      </c>
      <c r="N178" s="58" t="s">
        <v>1123</v>
      </c>
      <c r="O178" s="5">
        <v>18.3</v>
      </c>
      <c r="P178" s="5">
        <v>300</v>
      </c>
      <c r="Q178" s="5">
        <v>5490</v>
      </c>
      <c r="R178" s="5" t="s">
        <v>1145</v>
      </c>
      <c r="S178" s="3" t="s">
        <v>510</v>
      </c>
    </row>
    <row r="179" spans="1:19" ht="16.899999999999999" x14ac:dyDescent="0.4">
      <c r="A179" s="62" t="s">
        <v>1147</v>
      </c>
      <c r="B179" s="2">
        <v>44986</v>
      </c>
      <c r="C179" s="1" t="s">
        <v>29</v>
      </c>
      <c r="D179" s="3" t="s">
        <v>511</v>
      </c>
      <c r="E179" s="6">
        <v>45043</v>
      </c>
      <c r="F179" s="3" t="s">
        <v>471</v>
      </c>
      <c r="G179" s="3" t="s">
        <v>81</v>
      </c>
      <c r="H179" s="32" t="s">
        <v>1124</v>
      </c>
      <c r="I179" s="3" t="s">
        <v>230</v>
      </c>
      <c r="J179" s="1" t="s">
        <v>492</v>
      </c>
      <c r="K179" s="4" t="s">
        <v>491</v>
      </c>
      <c r="L179" s="58" t="s">
        <v>1161</v>
      </c>
      <c r="M179" s="4" t="s">
        <v>1157</v>
      </c>
      <c r="N179" s="58" t="s">
        <v>1123</v>
      </c>
      <c r="O179" s="5">
        <v>11.9</v>
      </c>
      <c r="P179" s="5">
        <v>500</v>
      </c>
      <c r="Q179" s="5">
        <v>5950</v>
      </c>
      <c r="R179" s="5" t="s">
        <v>1122</v>
      </c>
      <c r="S179" s="3" t="s">
        <v>512</v>
      </c>
    </row>
    <row r="180" spans="1:19" ht="16.899999999999999" x14ac:dyDescent="0.4">
      <c r="A180" s="62" t="s">
        <v>1147</v>
      </c>
      <c r="B180" s="2">
        <v>44986</v>
      </c>
      <c r="C180" s="1" t="s">
        <v>29</v>
      </c>
      <c r="D180" s="3" t="s">
        <v>513</v>
      </c>
      <c r="E180" s="6">
        <v>45043</v>
      </c>
      <c r="F180" s="3" t="s">
        <v>471</v>
      </c>
      <c r="G180" s="3" t="s">
        <v>81</v>
      </c>
      <c r="H180" s="32" t="s">
        <v>1124</v>
      </c>
      <c r="I180" s="3" t="s">
        <v>487</v>
      </c>
      <c r="J180" s="1" t="s">
        <v>64</v>
      </c>
      <c r="K180" s="4" t="s">
        <v>488</v>
      </c>
      <c r="L180" s="58" t="s">
        <v>1160</v>
      </c>
      <c r="M180" s="4" t="s">
        <v>1157</v>
      </c>
      <c r="N180" s="58" t="s">
        <v>1123</v>
      </c>
      <c r="O180" s="5">
        <v>12</v>
      </c>
      <c r="P180" s="5">
        <v>250</v>
      </c>
      <c r="Q180" s="5">
        <v>3000</v>
      </c>
      <c r="R180" s="5" t="s">
        <v>1122</v>
      </c>
      <c r="S180" s="3" t="s">
        <v>489</v>
      </c>
    </row>
    <row r="181" spans="1:19" ht="16.899999999999999" x14ac:dyDescent="0.4">
      <c r="A181" s="62" t="s">
        <v>1147</v>
      </c>
      <c r="B181" s="2">
        <v>44993</v>
      </c>
      <c r="C181" s="1" t="s">
        <v>0</v>
      </c>
      <c r="D181" s="3" t="s">
        <v>514</v>
      </c>
      <c r="E181" s="2">
        <v>45016</v>
      </c>
      <c r="F181" s="3" t="s">
        <v>471</v>
      </c>
      <c r="G181" s="3" t="s">
        <v>356</v>
      </c>
      <c r="H181" s="32" t="s">
        <v>1124</v>
      </c>
      <c r="I181" s="3" t="s">
        <v>230</v>
      </c>
      <c r="J181" s="1" t="s">
        <v>232</v>
      </c>
      <c r="K181" s="4" t="s">
        <v>231</v>
      </c>
      <c r="L181" s="58" t="s">
        <v>1161</v>
      </c>
      <c r="M181" s="4" t="s">
        <v>1158</v>
      </c>
      <c r="N181" s="58" t="s">
        <v>1123</v>
      </c>
      <c r="O181" s="5">
        <v>20.8</v>
      </c>
      <c r="P181" s="5">
        <v>200</v>
      </c>
      <c r="Q181" s="5">
        <v>4160</v>
      </c>
      <c r="R181" s="5" t="s">
        <v>1145</v>
      </c>
      <c r="S181" s="3" t="s">
        <v>515</v>
      </c>
    </row>
    <row r="182" spans="1:19" ht="16.899999999999999" x14ac:dyDescent="0.4">
      <c r="A182" s="62" t="s">
        <v>1147</v>
      </c>
      <c r="B182" s="2">
        <v>44993</v>
      </c>
      <c r="C182" s="1" t="s">
        <v>0</v>
      </c>
      <c r="D182" s="3" t="s">
        <v>514</v>
      </c>
      <c r="E182" s="2">
        <v>45016</v>
      </c>
      <c r="F182" s="3" t="s">
        <v>471</v>
      </c>
      <c r="G182" s="3" t="s">
        <v>356</v>
      </c>
      <c r="H182" s="32" t="s">
        <v>1124</v>
      </c>
      <c r="I182" s="3" t="s">
        <v>230</v>
      </c>
      <c r="J182" s="1" t="s">
        <v>481</v>
      </c>
      <c r="K182" s="4" t="s">
        <v>516</v>
      </c>
      <c r="L182" s="58" t="s">
        <v>1161</v>
      </c>
      <c r="M182" s="4" t="s">
        <v>1158</v>
      </c>
      <c r="N182" s="58" t="s">
        <v>1123</v>
      </c>
      <c r="O182" s="5">
        <v>20.399999999999999</v>
      </c>
      <c r="P182" s="5">
        <v>200</v>
      </c>
      <c r="Q182" s="5">
        <v>4080</v>
      </c>
      <c r="R182" s="5" t="s">
        <v>1145</v>
      </c>
      <c r="S182" s="3" t="s">
        <v>482</v>
      </c>
    </row>
    <row r="183" spans="1:19" ht="16.899999999999999" x14ac:dyDescent="0.4">
      <c r="A183" s="62" t="s">
        <v>1147</v>
      </c>
      <c r="B183" s="2">
        <v>45009</v>
      </c>
      <c r="C183" s="1" t="s">
        <v>29</v>
      </c>
      <c r="D183" s="3" t="s">
        <v>517</v>
      </c>
      <c r="E183" s="6">
        <v>45043</v>
      </c>
      <c r="F183" s="3" t="s">
        <v>471</v>
      </c>
      <c r="G183" s="3" t="s">
        <v>81</v>
      </c>
      <c r="H183" s="32" t="s">
        <v>1124</v>
      </c>
      <c r="I183" s="3" t="s">
        <v>230</v>
      </c>
      <c r="J183" s="1" t="s">
        <v>492</v>
      </c>
      <c r="K183" s="4" t="s">
        <v>491</v>
      </c>
      <c r="L183" s="58" t="s">
        <v>1161</v>
      </c>
      <c r="M183" s="4" t="s">
        <v>1157</v>
      </c>
      <c r="N183" s="58" t="s">
        <v>1123</v>
      </c>
      <c r="O183" s="5">
        <v>11.9</v>
      </c>
      <c r="P183" s="5">
        <v>2000</v>
      </c>
      <c r="Q183" s="5">
        <v>23800</v>
      </c>
      <c r="R183" s="5" t="s">
        <v>1122</v>
      </c>
      <c r="S183" s="3" t="s">
        <v>518</v>
      </c>
    </row>
    <row r="184" spans="1:19" ht="16.899999999999999" x14ac:dyDescent="0.4">
      <c r="A184" s="62" t="s">
        <v>1147</v>
      </c>
      <c r="B184" s="2">
        <v>45009</v>
      </c>
      <c r="C184" s="1" t="s">
        <v>29</v>
      </c>
      <c r="D184" s="3" t="s">
        <v>519</v>
      </c>
      <c r="E184" s="2">
        <v>45061</v>
      </c>
      <c r="F184" s="3" t="s">
        <v>471</v>
      </c>
      <c r="G184" s="3" t="s">
        <v>81</v>
      </c>
      <c r="H184" s="32" t="s">
        <v>1124</v>
      </c>
      <c r="I184" s="3" t="s">
        <v>504</v>
      </c>
      <c r="J184" s="1" t="s">
        <v>454</v>
      </c>
      <c r="K184" s="4" t="s">
        <v>457</v>
      </c>
      <c r="L184" s="58" t="s">
        <v>1161</v>
      </c>
      <c r="M184" s="4" t="s">
        <v>1157</v>
      </c>
      <c r="N184" s="58" t="s">
        <v>1123</v>
      </c>
      <c r="O184" s="5">
        <v>12.3</v>
      </c>
      <c r="P184" s="5">
        <v>4000</v>
      </c>
      <c r="Q184" s="5">
        <f>O184*P184</f>
        <v>49200</v>
      </c>
      <c r="R184" s="5" t="s">
        <v>1122</v>
      </c>
      <c r="S184" s="3" t="s">
        <v>520</v>
      </c>
    </row>
    <row r="185" spans="1:19" ht="16.899999999999999" x14ac:dyDescent="0.4">
      <c r="A185" s="62" t="s">
        <v>1147</v>
      </c>
      <c r="B185" s="2">
        <v>45014</v>
      </c>
      <c r="C185" s="1" t="s">
        <v>29</v>
      </c>
      <c r="D185" s="3" t="s">
        <v>521</v>
      </c>
      <c r="E185" s="2">
        <v>45061</v>
      </c>
      <c r="F185" s="3" t="s">
        <v>471</v>
      </c>
      <c r="G185" s="3" t="s">
        <v>81</v>
      </c>
      <c r="H185" s="32" t="s">
        <v>1124</v>
      </c>
      <c r="I185" s="3" t="s">
        <v>504</v>
      </c>
      <c r="J185" s="1" t="s">
        <v>454</v>
      </c>
      <c r="K185" s="4" t="s">
        <v>453</v>
      </c>
      <c r="L185" s="58" t="s">
        <v>1161</v>
      </c>
      <c r="M185" s="4" t="s">
        <v>1157</v>
      </c>
      <c r="N185" s="58" t="s">
        <v>1123</v>
      </c>
      <c r="O185" s="5">
        <v>12.3</v>
      </c>
      <c r="P185" s="5">
        <v>2600</v>
      </c>
      <c r="Q185" s="5">
        <v>31980</v>
      </c>
      <c r="R185" s="5" t="s">
        <v>1122</v>
      </c>
      <c r="S185" s="3" t="s">
        <v>522</v>
      </c>
    </row>
    <row r="186" spans="1:19" ht="16.899999999999999" x14ac:dyDescent="0.4">
      <c r="A186" s="62" t="s">
        <v>1147</v>
      </c>
      <c r="B186" s="2">
        <v>45017</v>
      </c>
      <c r="C186" s="1" t="s">
        <v>523</v>
      </c>
      <c r="D186" s="3" t="s">
        <v>524</v>
      </c>
      <c r="E186" s="2">
        <v>45023</v>
      </c>
      <c r="F186" s="3" t="s">
        <v>525</v>
      </c>
      <c r="G186" s="3" t="s">
        <v>1126</v>
      </c>
      <c r="H186" s="32" t="s">
        <v>1124</v>
      </c>
      <c r="I186" s="3" t="s">
        <v>526</v>
      </c>
      <c r="J186" s="1" t="s">
        <v>527</v>
      </c>
      <c r="L186" s="58" t="s">
        <v>1160</v>
      </c>
      <c r="M186" s="58" t="s">
        <v>1150</v>
      </c>
      <c r="N186" s="58" t="s">
        <v>1123</v>
      </c>
      <c r="O186" s="5">
        <v>6</v>
      </c>
      <c r="P186" s="5">
        <v>500</v>
      </c>
      <c r="Q186" s="5">
        <v>3000</v>
      </c>
      <c r="R186" s="5" t="s">
        <v>1145</v>
      </c>
      <c r="S186" s="3" t="s">
        <v>528</v>
      </c>
    </row>
    <row r="187" spans="1:19" ht="16.899999999999999" x14ac:dyDescent="0.4">
      <c r="A187" s="62" t="s">
        <v>1147</v>
      </c>
      <c r="B187" s="2">
        <v>45017</v>
      </c>
      <c r="C187" s="1" t="s">
        <v>108</v>
      </c>
      <c r="D187" s="3" t="s">
        <v>529</v>
      </c>
      <c r="E187" s="2">
        <v>45054</v>
      </c>
      <c r="F187" s="3" t="s">
        <v>525</v>
      </c>
      <c r="G187" s="3" t="s">
        <v>356</v>
      </c>
      <c r="H187" s="32" t="s">
        <v>1124</v>
      </c>
      <c r="I187" s="3" t="s">
        <v>526</v>
      </c>
      <c r="J187" s="1" t="s">
        <v>527</v>
      </c>
      <c r="L187" s="58" t="s">
        <v>1160</v>
      </c>
      <c r="M187" s="58" t="s">
        <v>1150</v>
      </c>
      <c r="N187" s="58" t="s">
        <v>1123</v>
      </c>
      <c r="O187" s="5">
        <v>6</v>
      </c>
      <c r="P187" s="5">
        <v>1000</v>
      </c>
      <c r="Q187" s="5">
        <v>6000</v>
      </c>
      <c r="R187" s="5" t="s">
        <v>1145</v>
      </c>
      <c r="S187" s="3" t="s">
        <v>530</v>
      </c>
    </row>
    <row r="188" spans="1:19" ht="16.899999999999999" x14ac:dyDescent="0.4">
      <c r="A188" s="62" t="s">
        <v>1147</v>
      </c>
      <c r="B188" s="2">
        <v>45030</v>
      </c>
      <c r="C188" s="1" t="s">
        <v>531</v>
      </c>
      <c r="D188" s="3" t="s">
        <v>532</v>
      </c>
      <c r="E188" s="2">
        <v>45203</v>
      </c>
      <c r="F188" s="3" t="s">
        <v>533</v>
      </c>
      <c r="G188" s="3" t="s">
        <v>81</v>
      </c>
      <c r="H188" s="32" t="s">
        <v>1124</v>
      </c>
      <c r="I188" s="3" t="s">
        <v>534</v>
      </c>
      <c r="K188" s="4" t="s">
        <v>535</v>
      </c>
      <c r="L188" s="58" t="s">
        <v>1160</v>
      </c>
      <c r="M188" s="58" t="s">
        <v>1150</v>
      </c>
      <c r="N188" s="58" t="s">
        <v>1123</v>
      </c>
      <c r="O188" s="5">
        <v>33560</v>
      </c>
      <c r="P188" s="5">
        <v>1</v>
      </c>
      <c r="Q188" s="5">
        <v>33560</v>
      </c>
      <c r="R188" s="5" t="s">
        <v>1122</v>
      </c>
      <c r="S188" s="3" t="s">
        <v>20</v>
      </c>
    </row>
    <row r="189" spans="1:19" ht="16.899999999999999" x14ac:dyDescent="0.4">
      <c r="A189" s="62" t="s">
        <v>1147</v>
      </c>
      <c r="B189" s="2">
        <v>45030</v>
      </c>
      <c r="C189" s="1" t="s">
        <v>531</v>
      </c>
      <c r="D189" s="3" t="s">
        <v>537</v>
      </c>
      <c r="E189" s="2">
        <v>45203</v>
      </c>
      <c r="F189" s="3" t="s">
        <v>533</v>
      </c>
      <c r="G189" s="3" t="s">
        <v>81</v>
      </c>
      <c r="H189" s="32" t="s">
        <v>1124</v>
      </c>
      <c r="I189" s="3" t="s">
        <v>534</v>
      </c>
      <c r="K189" s="4" t="s">
        <v>538</v>
      </c>
      <c r="L189" s="58" t="s">
        <v>1160</v>
      </c>
      <c r="M189" s="58" t="s">
        <v>1150</v>
      </c>
      <c r="N189" s="58" t="s">
        <v>1123</v>
      </c>
      <c r="O189" s="5">
        <v>2245</v>
      </c>
      <c r="P189" s="5">
        <v>1</v>
      </c>
      <c r="Q189" s="5">
        <v>2245</v>
      </c>
      <c r="R189" s="5" t="s">
        <v>1122</v>
      </c>
      <c r="S189" s="3" t="s">
        <v>20</v>
      </c>
    </row>
    <row r="190" spans="1:19" ht="16.899999999999999" x14ac:dyDescent="0.4">
      <c r="A190" s="62" t="s">
        <v>1147</v>
      </c>
      <c r="B190" s="2">
        <v>45030</v>
      </c>
      <c r="C190" s="1" t="s">
        <v>531</v>
      </c>
      <c r="D190" s="3" t="s">
        <v>539</v>
      </c>
      <c r="E190" s="2">
        <v>45203</v>
      </c>
      <c r="F190" s="3" t="s">
        <v>533</v>
      </c>
      <c r="G190" s="3" t="s">
        <v>81</v>
      </c>
      <c r="H190" s="32" t="s">
        <v>1124</v>
      </c>
      <c r="I190" s="3" t="s">
        <v>534</v>
      </c>
      <c r="K190" s="4" t="s">
        <v>540</v>
      </c>
      <c r="L190" s="58" t="s">
        <v>1160</v>
      </c>
      <c r="M190" s="58" t="s">
        <v>1150</v>
      </c>
      <c r="N190" s="58" t="s">
        <v>1123</v>
      </c>
      <c r="O190" s="5">
        <v>31159</v>
      </c>
      <c r="P190" s="5">
        <v>1</v>
      </c>
      <c r="Q190" s="5">
        <v>31159</v>
      </c>
      <c r="R190" s="5" t="s">
        <v>1122</v>
      </c>
      <c r="S190" s="3" t="s">
        <v>20</v>
      </c>
    </row>
    <row r="191" spans="1:19" ht="16.899999999999999" x14ac:dyDescent="0.4">
      <c r="A191" s="62" t="s">
        <v>1147</v>
      </c>
      <c r="B191" s="2">
        <v>45030</v>
      </c>
      <c r="C191" s="1" t="s">
        <v>531</v>
      </c>
      <c r="D191" s="3" t="s">
        <v>541</v>
      </c>
      <c r="E191" s="2">
        <v>45203</v>
      </c>
      <c r="F191" s="3" t="s">
        <v>533</v>
      </c>
      <c r="G191" s="3" t="s">
        <v>81</v>
      </c>
      <c r="H191" s="32" t="s">
        <v>1124</v>
      </c>
      <c r="I191" s="3" t="s">
        <v>534</v>
      </c>
      <c r="K191" s="4" t="s">
        <v>542</v>
      </c>
      <c r="L191" s="58" t="s">
        <v>1160</v>
      </c>
      <c r="M191" s="58" t="s">
        <v>1150</v>
      </c>
      <c r="N191" s="58" t="s">
        <v>1123</v>
      </c>
      <c r="O191" s="5">
        <v>33992</v>
      </c>
      <c r="P191" s="5">
        <v>1</v>
      </c>
      <c r="Q191" s="5">
        <f>IF(O191="","",SUM(O191*P191))</f>
        <v>33992</v>
      </c>
      <c r="R191" s="5" t="s">
        <v>1122</v>
      </c>
    </row>
    <row r="192" spans="1:19" ht="16.899999999999999" x14ac:dyDescent="0.4">
      <c r="A192" s="62" t="s">
        <v>1147</v>
      </c>
      <c r="B192" s="2">
        <v>45030</v>
      </c>
      <c r="C192" s="1" t="s">
        <v>29</v>
      </c>
      <c r="D192" s="3" t="s">
        <v>543</v>
      </c>
      <c r="E192" s="2">
        <v>45153</v>
      </c>
      <c r="F192" s="3" t="s">
        <v>471</v>
      </c>
      <c r="G192" s="3" t="s">
        <v>81</v>
      </c>
      <c r="H192" s="32" t="s">
        <v>1124</v>
      </c>
      <c r="I192" s="3" t="s">
        <v>536</v>
      </c>
      <c r="K192" s="4" t="s">
        <v>542</v>
      </c>
      <c r="L192" s="58" t="s">
        <v>1160</v>
      </c>
      <c r="M192" s="58" t="s">
        <v>1150</v>
      </c>
      <c r="N192" s="58" t="s">
        <v>1123</v>
      </c>
      <c r="O192" s="5">
        <v>33992</v>
      </c>
      <c r="P192" s="5">
        <v>1</v>
      </c>
      <c r="Q192" s="5">
        <v>33992</v>
      </c>
      <c r="R192" s="5" t="s">
        <v>1122</v>
      </c>
      <c r="S192" s="3" t="s">
        <v>544</v>
      </c>
    </row>
    <row r="193" spans="1:19" ht="16.899999999999999" x14ac:dyDescent="0.4">
      <c r="A193" s="62" t="s">
        <v>1147</v>
      </c>
      <c r="B193" s="2">
        <v>45030</v>
      </c>
      <c r="C193" s="1" t="s">
        <v>531</v>
      </c>
      <c r="D193" s="3" t="s">
        <v>545</v>
      </c>
      <c r="E193" s="2">
        <v>45203</v>
      </c>
      <c r="F193" s="3" t="s">
        <v>533</v>
      </c>
      <c r="G193" s="3" t="s">
        <v>81</v>
      </c>
      <c r="H193" s="32" t="s">
        <v>1124</v>
      </c>
      <c r="I193" s="3" t="s">
        <v>534</v>
      </c>
      <c r="K193" s="4" t="s">
        <v>546</v>
      </c>
      <c r="L193" s="58" t="s">
        <v>1160</v>
      </c>
      <c r="M193" s="58" t="s">
        <v>1150</v>
      </c>
      <c r="N193" s="58" t="s">
        <v>1123</v>
      </c>
      <c r="O193" s="5">
        <v>15223</v>
      </c>
      <c r="P193" s="5">
        <v>1</v>
      </c>
      <c r="Q193" s="5">
        <f>IF(O193="","",SUM(O193*P193))</f>
        <v>15223</v>
      </c>
      <c r="R193" s="5" t="s">
        <v>1122</v>
      </c>
    </row>
    <row r="194" spans="1:19" ht="16.899999999999999" x14ac:dyDescent="0.4">
      <c r="A194" s="62" t="s">
        <v>1147</v>
      </c>
      <c r="B194" s="2">
        <v>45033</v>
      </c>
      <c r="C194" s="1" t="s">
        <v>0</v>
      </c>
      <c r="D194" s="3" t="s">
        <v>547</v>
      </c>
      <c r="E194" s="2">
        <v>45076</v>
      </c>
      <c r="F194" s="3" t="s">
        <v>471</v>
      </c>
      <c r="G194" s="3" t="s">
        <v>356</v>
      </c>
      <c r="H194" s="32" t="s">
        <v>1124</v>
      </c>
      <c r="I194" s="3" t="s">
        <v>475</v>
      </c>
      <c r="J194" s="1" t="s">
        <v>549</v>
      </c>
      <c r="K194" s="4" t="s">
        <v>548</v>
      </c>
      <c r="L194" s="58" t="s">
        <v>1161</v>
      </c>
      <c r="M194" s="4" t="s">
        <v>1158</v>
      </c>
      <c r="N194" s="58" t="s">
        <v>1123</v>
      </c>
      <c r="O194" s="5">
        <v>20.399999999999999</v>
      </c>
      <c r="P194" s="5">
        <v>200</v>
      </c>
      <c r="Q194" s="5">
        <v>4080</v>
      </c>
      <c r="R194" s="5" t="s">
        <v>1145</v>
      </c>
      <c r="S194" s="3" t="s">
        <v>550</v>
      </c>
    </row>
    <row r="195" spans="1:19" ht="16.899999999999999" x14ac:dyDescent="0.4">
      <c r="A195" s="62" t="s">
        <v>1147</v>
      </c>
      <c r="B195" s="2">
        <v>45035</v>
      </c>
      <c r="C195" s="1" t="s">
        <v>29</v>
      </c>
      <c r="D195" s="3" t="s">
        <v>551</v>
      </c>
      <c r="E195" s="2">
        <v>45076</v>
      </c>
      <c r="F195" s="3" t="s">
        <v>471</v>
      </c>
      <c r="G195" s="3" t="s">
        <v>81</v>
      </c>
      <c r="H195" s="32" t="s">
        <v>1124</v>
      </c>
      <c r="I195" s="3" t="s">
        <v>504</v>
      </c>
      <c r="J195" s="1" t="s">
        <v>64</v>
      </c>
      <c r="K195" s="4" t="s">
        <v>552</v>
      </c>
      <c r="L195" s="58" t="s">
        <v>1161</v>
      </c>
      <c r="M195" s="4" t="s">
        <v>1157</v>
      </c>
      <c r="N195" s="58" t="s">
        <v>1123</v>
      </c>
      <c r="O195" s="5">
        <v>11.2</v>
      </c>
      <c r="P195" s="5">
        <v>3500</v>
      </c>
      <c r="Q195" s="5">
        <v>39200</v>
      </c>
      <c r="R195" s="5" t="s">
        <v>1122</v>
      </c>
      <c r="S195" s="3" t="s">
        <v>553</v>
      </c>
    </row>
    <row r="196" spans="1:19" ht="16.899999999999999" x14ac:dyDescent="0.4">
      <c r="A196" s="62" t="s">
        <v>1147</v>
      </c>
      <c r="B196" s="2">
        <v>45040</v>
      </c>
      <c r="C196" s="1" t="s">
        <v>29</v>
      </c>
      <c r="D196" s="3" t="s">
        <v>554</v>
      </c>
      <c r="E196" s="2">
        <v>45093</v>
      </c>
      <c r="F196" s="3" t="s">
        <v>471</v>
      </c>
      <c r="G196" s="3" t="s">
        <v>81</v>
      </c>
      <c r="H196" s="32" t="s">
        <v>1124</v>
      </c>
      <c r="I196" s="3" t="s">
        <v>487</v>
      </c>
      <c r="J196" s="1" t="s">
        <v>64</v>
      </c>
      <c r="K196" s="4" t="s">
        <v>488</v>
      </c>
      <c r="L196" s="58" t="s">
        <v>1160</v>
      </c>
      <c r="M196" s="4" t="s">
        <v>1157</v>
      </c>
      <c r="N196" s="58" t="s">
        <v>1123</v>
      </c>
      <c r="O196" s="5">
        <v>12</v>
      </c>
      <c r="P196" s="5">
        <v>250</v>
      </c>
      <c r="Q196" s="5">
        <v>3000</v>
      </c>
      <c r="R196" s="5" t="s">
        <v>1122</v>
      </c>
      <c r="S196" s="3" t="s">
        <v>489</v>
      </c>
    </row>
    <row r="197" spans="1:19" ht="16.899999999999999" x14ac:dyDescent="0.4">
      <c r="A197" s="62" t="s">
        <v>1147</v>
      </c>
      <c r="B197" s="2">
        <v>45040</v>
      </c>
      <c r="C197" s="1" t="s">
        <v>29</v>
      </c>
      <c r="D197" s="3" t="s">
        <v>555</v>
      </c>
      <c r="E197" s="2">
        <v>45093</v>
      </c>
      <c r="F197" s="3" t="s">
        <v>471</v>
      </c>
      <c r="G197" s="3" t="s">
        <v>81</v>
      </c>
      <c r="H197" s="32" t="s">
        <v>1124</v>
      </c>
      <c r="I197" s="3" t="s">
        <v>487</v>
      </c>
      <c r="J197" s="1" t="s">
        <v>64</v>
      </c>
      <c r="K197" s="4" t="s">
        <v>488</v>
      </c>
      <c r="L197" s="58" t="s">
        <v>1160</v>
      </c>
      <c r="M197" s="4" t="s">
        <v>1157</v>
      </c>
      <c r="N197" s="58" t="s">
        <v>1123</v>
      </c>
      <c r="O197" s="5">
        <v>12</v>
      </c>
      <c r="P197" s="5">
        <v>250</v>
      </c>
      <c r="Q197" s="5">
        <v>3000</v>
      </c>
      <c r="R197" s="5" t="s">
        <v>1122</v>
      </c>
      <c r="S197" s="3" t="s">
        <v>489</v>
      </c>
    </row>
    <row r="198" spans="1:19" ht="16.899999999999999" x14ac:dyDescent="0.4">
      <c r="A198" s="62" t="s">
        <v>1147</v>
      </c>
      <c r="B198" s="2">
        <v>45043</v>
      </c>
      <c r="C198" s="1" t="s">
        <v>556</v>
      </c>
      <c r="D198" s="3" t="s">
        <v>557</v>
      </c>
      <c r="E198" s="2">
        <v>45126</v>
      </c>
      <c r="F198" s="3" t="s">
        <v>471</v>
      </c>
      <c r="G198" s="3" t="s">
        <v>356</v>
      </c>
      <c r="H198" s="32" t="s">
        <v>1124</v>
      </c>
      <c r="I198" s="3" t="s">
        <v>504</v>
      </c>
      <c r="J198" s="1" t="s">
        <v>64</v>
      </c>
      <c r="K198" s="4" t="s">
        <v>558</v>
      </c>
      <c r="L198" s="58" t="s">
        <v>1161</v>
      </c>
      <c r="M198" s="4" t="s">
        <v>1151</v>
      </c>
      <c r="N198" s="58" t="s">
        <v>1123</v>
      </c>
      <c r="O198" s="5">
        <v>16</v>
      </c>
      <c r="P198" s="5">
        <v>400</v>
      </c>
      <c r="Q198" s="5">
        <v>6400</v>
      </c>
      <c r="R198" s="5" t="s">
        <v>1145</v>
      </c>
      <c r="S198" s="59" t="s">
        <v>559</v>
      </c>
    </row>
    <row r="199" spans="1:19" ht="16.899999999999999" x14ac:dyDescent="0.4">
      <c r="A199" s="62" t="s">
        <v>1147</v>
      </c>
      <c r="B199" s="2">
        <v>45069</v>
      </c>
      <c r="C199" s="1" t="s">
        <v>29</v>
      </c>
      <c r="D199" s="3" t="s">
        <v>560</v>
      </c>
      <c r="E199" s="2">
        <v>45093</v>
      </c>
      <c r="F199" s="3" t="s">
        <v>471</v>
      </c>
      <c r="G199" s="3" t="s">
        <v>81</v>
      </c>
      <c r="H199" s="32" t="s">
        <v>1124</v>
      </c>
      <c r="I199" s="3" t="s">
        <v>487</v>
      </c>
      <c r="J199" s="1" t="s">
        <v>562</v>
      </c>
      <c r="K199" s="4" t="s">
        <v>561</v>
      </c>
      <c r="L199" s="58" t="s">
        <v>1160</v>
      </c>
      <c r="M199" s="4" t="s">
        <v>1157</v>
      </c>
      <c r="N199" s="58" t="s">
        <v>1123</v>
      </c>
      <c r="O199" s="5">
        <v>12</v>
      </c>
      <c r="P199" s="5">
        <v>100</v>
      </c>
      <c r="Q199" s="5">
        <v>1200</v>
      </c>
      <c r="R199" s="5" t="s">
        <v>1122</v>
      </c>
      <c r="S199" s="3" t="s">
        <v>563</v>
      </c>
    </row>
    <row r="200" spans="1:19" ht="16.899999999999999" x14ac:dyDescent="0.4">
      <c r="A200" s="62" t="s">
        <v>1147</v>
      </c>
      <c r="B200" s="2">
        <v>45079</v>
      </c>
      <c r="C200" s="1" t="s">
        <v>29</v>
      </c>
      <c r="D200" s="3" t="s">
        <v>564</v>
      </c>
      <c r="E200" s="2">
        <v>45153</v>
      </c>
      <c r="F200" s="3" t="s">
        <v>471</v>
      </c>
      <c r="G200" s="3" t="s">
        <v>81</v>
      </c>
      <c r="H200" s="32" t="s">
        <v>1124</v>
      </c>
      <c r="I200" s="3" t="s">
        <v>504</v>
      </c>
      <c r="J200" s="1" t="s">
        <v>64</v>
      </c>
      <c r="K200" s="4" t="s">
        <v>409</v>
      </c>
      <c r="L200" s="58" t="s">
        <v>1161</v>
      </c>
      <c r="M200" s="4" t="s">
        <v>1157</v>
      </c>
      <c r="N200" s="58" t="s">
        <v>1123</v>
      </c>
      <c r="O200" s="5">
        <v>10.9</v>
      </c>
      <c r="P200" s="5">
        <v>1500</v>
      </c>
      <c r="Q200" s="5">
        <v>16350</v>
      </c>
      <c r="R200" s="5" t="s">
        <v>1122</v>
      </c>
      <c r="S200" s="3" t="s">
        <v>565</v>
      </c>
    </row>
    <row r="201" spans="1:19" ht="16.899999999999999" x14ac:dyDescent="0.4">
      <c r="A201" s="62" t="s">
        <v>1147</v>
      </c>
      <c r="B201" s="2">
        <v>45079</v>
      </c>
      <c r="C201" s="1" t="s">
        <v>29</v>
      </c>
      <c r="D201" s="3" t="s">
        <v>566</v>
      </c>
      <c r="E201" s="2">
        <v>45153</v>
      </c>
      <c r="F201" s="3" t="s">
        <v>471</v>
      </c>
      <c r="G201" s="3" t="s">
        <v>81</v>
      </c>
      <c r="H201" s="32" t="s">
        <v>1124</v>
      </c>
      <c r="I201" s="3" t="s">
        <v>408</v>
      </c>
      <c r="J201" s="1" t="s">
        <v>467</v>
      </c>
      <c r="K201" s="4" t="s">
        <v>466</v>
      </c>
      <c r="L201" s="58" t="s">
        <v>1161</v>
      </c>
      <c r="M201" s="4" t="s">
        <v>1157</v>
      </c>
      <c r="N201" s="58" t="s">
        <v>1123</v>
      </c>
      <c r="O201" s="5">
        <v>10.9</v>
      </c>
      <c r="P201" s="5">
        <v>3000</v>
      </c>
      <c r="Q201" s="5">
        <v>32700</v>
      </c>
      <c r="R201" s="5" t="s">
        <v>1122</v>
      </c>
      <c r="S201" s="3" t="s">
        <v>567</v>
      </c>
    </row>
    <row r="202" spans="1:19" ht="16.899999999999999" x14ac:dyDescent="0.4">
      <c r="A202" s="62" t="s">
        <v>1147</v>
      </c>
      <c r="B202" s="2">
        <v>45092</v>
      </c>
      <c r="C202" s="1" t="s">
        <v>568</v>
      </c>
      <c r="D202" s="3" t="s">
        <v>569</v>
      </c>
      <c r="E202" s="2">
        <v>45168</v>
      </c>
      <c r="F202" s="3" t="s">
        <v>471</v>
      </c>
      <c r="G202" s="3" t="s">
        <v>356</v>
      </c>
      <c r="H202" s="32" t="s">
        <v>1124</v>
      </c>
      <c r="I202" s="3" t="s">
        <v>504</v>
      </c>
      <c r="J202" s="1" t="s">
        <v>562</v>
      </c>
      <c r="K202" s="4" t="s">
        <v>561</v>
      </c>
      <c r="L202" s="58" t="s">
        <v>1161</v>
      </c>
      <c r="M202" s="4" t="s">
        <v>1151</v>
      </c>
      <c r="N202" s="58" t="s">
        <v>1123</v>
      </c>
      <c r="O202" s="5">
        <v>16.25</v>
      </c>
      <c r="P202" s="5">
        <v>3000</v>
      </c>
      <c r="Q202" s="5">
        <v>48750</v>
      </c>
      <c r="R202" s="5" t="s">
        <v>1145</v>
      </c>
      <c r="S202" s="59" t="s">
        <v>570</v>
      </c>
    </row>
    <row r="203" spans="1:19" ht="16.899999999999999" x14ac:dyDescent="0.4">
      <c r="A203" s="62" t="s">
        <v>1147</v>
      </c>
      <c r="B203" s="2">
        <v>45099</v>
      </c>
      <c r="C203" s="1" t="s">
        <v>469</v>
      </c>
      <c r="D203" s="3" t="s">
        <v>571</v>
      </c>
      <c r="E203" s="2">
        <v>45136</v>
      </c>
      <c r="F203" s="3" t="s">
        <v>471</v>
      </c>
      <c r="G203" s="3" t="s">
        <v>356</v>
      </c>
      <c r="H203" s="32" t="s">
        <v>1124</v>
      </c>
      <c r="I203" s="3" t="s">
        <v>472</v>
      </c>
      <c r="J203" s="1" t="s">
        <v>64</v>
      </c>
      <c r="K203" s="4" t="s">
        <v>572</v>
      </c>
      <c r="L203" s="58" t="s">
        <v>1161</v>
      </c>
      <c r="M203" s="4" t="s">
        <v>1153</v>
      </c>
      <c r="N203" s="58" t="s">
        <v>1123</v>
      </c>
      <c r="O203" s="5">
        <v>16.5</v>
      </c>
      <c r="P203" s="5">
        <v>200</v>
      </c>
      <c r="Q203" s="5">
        <v>3300</v>
      </c>
      <c r="R203" s="5" t="s">
        <v>1122</v>
      </c>
      <c r="S203" s="3" t="s">
        <v>573</v>
      </c>
    </row>
    <row r="204" spans="1:19" ht="16.899999999999999" x14ac:dyDescent="0.4">
      <c r="A204" s="62" t="s">
        <v>1147</v>
      </c>
      <c r="B204" s="2">
        <v>45104</v>
      </c>
      <c r="C204" s="1" t="s">
        <v>0</v>
      </c>
      <c r="D204" s="3" t="s">
        <v>574</v>
      </c>
      <c r="E204" s="2">
        <v>45202</v>
      </c>
      <c r="F204" s="3" t="s">
        <v>471</v>
      </c>
      <c r="G204" s="3" t="s">
        <v>356</v>
      </c>
      <c r="H204" s="32" t="s">
        <v>1124</v>
      </c>
      <c r="I204" s="3" t="s">
        <v>575</v>
      </c>
      <c r="J204" s="1" t="s">
        <v>577</v>
      </c>
      <c r="K204" s="4" t="s">
        <v>576</v>
      </c>
      <c r="L204" s="58" t="s">
        <v>1161</v>
      </c>
      <c r="M204" s="4" t="s">
        <v>1158</v>
      </c>
      <c r="N204" s="58" t="s">
        <v>1123</v>
      </c>
      <c r="O204" s="5">
        <v>21.8</v>
      </c>
      <c r="P204" s="5">
        <v>1400</v>
      </c>
      <c r="Q204" s="5">
        <v>30520</v>
      </c>
      <c r="R204" s="5" t="s">
        <v>1145</v>
      </c>
      <c r="S204" s="3" t="s">
        <v>578</v>
      </c>
    </row>
    <row r="205" spans="1:19" ht="16.899999999999999" x14ac:dyDescent="0.4">
      <c r="A205" s="62" t="s">
        <v>1147</v>
      </c>
      <c r="B205" s="2">
        <v>45105</v>
      </c>
      <c r="C205" s="1" t="s">
        <v>0</v>
      </c>
      <c r="D205" s="3" t="s">
        <v>579</v>
      </c>
      <c r="E205" s="2">
        <v>45174</v>
      </c>
      <c r="F205" s="3" t="s">
        <v>471</v>
      </c>
      <c r="G205" s="3" t="s">
        <v>356</v>
      </c>
      <c r="H205" s="32" t="s">
        <v>1124</v>
      </c>
      <c r="I205" s="3" t="s">
        <v>472</v>
      </c>
      <c r="J205" s="1" t="s">
        <v>581</v>
      </c>
      <c r="K205" s="4" t="s">
        <v>580</v>
      </c>
      <c r="L205" s="58" t="s">
        <v>1161</v>
      </c>
      <c r="M205" s="4" t="s">
        <v>1158</v>
      </c>
      <c r="N205" s="58" t="s">
        <v>1123</v>
      </c>
      <c r="O205" s="5">
        <v>15</v>
      </c>
      <c r="P205" s="5">
        <v>300</v>
      </c>
      <c r="Q205" s="5">
        <v>4500</v>
      </c>
      <c r="R205" s="5" t="s">
        <v>1145</v>
      </c>
      <c r="S205" s="3" t="s">
        <v>582</v>
      </c>
    </row>
    <row r="206" spans="1:19" ht="16.899999999999999" x14ac:dyDescent="0.4">
      <c r="A206" s="62" t="s">
        <v>1147</v>
      </c>
      <c r="B206" s="2">
        <v>45108</v>
      </c>
      <c r="C206" s="1" t="s">
        <v>0</v>
      </c>
      <c r="D206" s="3" t="s">
        <v>583</v>
      </c>
      <c r="E206" s="2">
        <v>45131</v>
      </c>
      <c r="F206" s="3" t="s">
        <v>471</v>
      </c>
      <c r="G206" s="3" t="s">
        <v>356</v>
      </c>
      <c r="H206" s="32" t="s">
        <v>1124</v>
      </c>
      <c r="I206" s="3" t="s">
        <v>584</v>
      </c>
      <c r="J206" s="1" t="s">
        <v>549</v>
      </c>
      <c r="K206" s="4" t="s">
        <v>548</v>
      </c>
      <c r="L206" s="58" t="s">
        <v>1161</v>
      </c>
      <c r="M206" s="4" t="s">
        <v>1158</v>
      </c>
      <c r="N206" s="58" t="s">
        <v>1123</v>
      </c>
      <c r="O206" s="5">
        <v>19.399999999999999</v>
      </c>
      <c r="P206" s="5">
        <v>200</v>
      </c>
      <c r="Q206" s="5">
        <v>3880</v>
      </c>
      <c r="R206" s="5" t="s">
        <v>1145</v>
      </c>
      <c r="S206" s="3" t="s">
        <v>585</v>
      </c>
    </row>
    <row r="207" spans="1:19" ht="16.899999999999999" x14ac:dyDescent="0.4">
      <c r="A207" s="62" t="s">
        <v>1147</v>
      </c>
      <c r="B207" s="2">
        <v>45111</v>
      </c>
      <c r="C207" s="1" t="s">
        <v>501</v>
      </c>
      <c r="D207" s="3" t="s">
        <v>586</v>
      </c>
      <c r="E207" s="2">
        <v>45147</v>
      </c>
      <c r="F207" s="3" t="s">
        <v>503</v>
      </c>
      <c r="G207" s="3" t="s">
        <v>356</v>
      </c>
      <c r="H207" s="32" t="s">
        <v>1124</v>
      </c>
      <c r="I207" s="3" t="s">
        <v>504</v>
      </c>
      <c r="J207" s="1" t="s">
        <v>467</v>
      </c>
      <c r="K207" s="4" t="s">
        <v>466</v>
      </c>
      <c r="L207" s="58" t="s">
        <v>1161</v>
      </c>
      <c r="M207" s="4" t="s">
        <v>1151</v>
      </c>
      <c r="N207" s="58" t="s">
        <v>1123</v>
      </c>
      <c r="O207" s="5">
        <v>84.75</v>
      </c>
      <c r="P207" s="5">
        <v>1000</v>
      </c>
      <c r="Q207" s="5">
        <v>84750</v>
      </c>
      <c r="R207" s="5" t="s">
        <v>1146</v>
      </c>
      <c r="S207" s="3" t="s">
        <v>587</v>
      </c>
    </row>
    <row r="208" spans="1:19" ht="16.899999999999999" x14ac:dyDescent="0.4">
      <c r="A208" s="62" t="s">
        <v>1147</v>
      </c>
      <c r="B208" s="2">
        <v>45117</v>
      </c>
      <c r="C208" s="1" t="s">
        <v>469</v>
      </c>
      <c r="D208" s="3" t="s">
        <v>600</v>
      </c>
      <c r="E208" s="2">
        <v>45168</v>
      </c>
      <c r="F208" s="3" t="s">
        <v>471</v>
      </c>
      <c r="G208" s="3" t="s">
        <v>356</v>
      </c>
      <c r="H208" s="32" t="s">
        <v>1124</v>
      </c>
      <c r="I208" s="3" t="s">
        <v>230</v>
      </c>
      <c r="J208" s="1" t="s">
        <v>484</v>
      </c>
      <c r="K208" s="4">
        <v>4320001</v>
      </c>
      <c r="L208" s="58" t="s">
        <v>1161</v>
      </c>
      <c r="M208" s="4" t="s">
        <v>1153</v>
      </c>
      <c r="N208" s="58" t="s">
        <v>1123</v>
      </c>
      <c r="O208" s="5">
        <v>11.6</v>
      </c>
      <c r="P208" s="5">
        <v>200</v>
      </c>
      <c r="Q208" s="5">
        <v>2320</v>
      </c>
      <c r="R208" s="5" t="s">
        <v>1122</v>
      </c>
      <c r="S208" s="3" t="s">
        <v>601</v>
      </c>
    </row>
    <row r="209" spans="1:19" ht="16.899999999999999" x14ac:dyDescent="0.4">
      <c r="A209" s="62" t="s">
        <v>1147</v>
      </c>
      <c r="B209" s="2">
        <v>45120</v>
      </c>
      <c r="C209" s="1" t="s">
        <v>591</v>
      </c>
      <c r="D209" s="3" t="s">
        <v>592</v>
      </c>
      <c r="E209" s="2">
        <v>45153</v>
      </c>
      <c r="F209" s="3" t="s">
        <v>593</v>
      </c>
      <c r="G209" s="3" t="s">
        <v>1119</v>
      </c>
      <c r="H209" s="32" t="s">
        <v>1124</v>
      </c>
      <c r="I209" s="3" t="s">
        <v>594</v>
      </c>
      <c r="J209" s="1" t="s">
        <v>311</v>
      </c>
      <c r="L209" s="58" t="s">
        <v>1160</v>
      </c>
      <c r="M209" s="58" t="s">
        <v>1150</v>
      </c>
      <c r="N209" s="58" t="s">
        <v>1123</v>
      </c>
      <c r="O209" s="5">
        <v>4.95</v>
      </c>
      <c r="P209" s="5">
        <v>500</v>
      </c>
      <c r="Q209" s="5">
        <v>2475</v>
      </c>
      <c r="R209" s="5" t="s">
        <v>1145</v>
      </c>
      <c r="S209" s="3" t="s">
        <v>595</v>
      </c>
    </row>
    <row r="210" spans="1:19" ht="16.899999999999999" x14ac:dyDescent="0.4">
      <c r="A210" s="62" t="s">
        <v>1147</v>
      </c>
      <c r="B210" s="2">
        <v>45148</v>
      </c>
      <c r="C210" s="1" t="s">
        <v>55</v>
      </c>
      <c r="D210" s="3" t="s">
        <v>588</v>
      </c>
      <c r="E210" s="2">
        <v>45168</v>
      </c>
      <c r="F210" s="3" t="s">
        <v>471</v>
      </c>
      <c r="G210" s="3" t="s">
        <v>356</v>
      </c>
      <c r="H210" s="32" t="s">
        <v>1124</v>
      </c>
      <c r="I210" s="8" t="s">
        <v>408</v>
      </c>
      <c r="J210" s="1" t="s">
        <v>467</v>
      </c>
      <c r="K210" s="4" t="s">
        <v>589</v>
      </c>
      <c r="L210" s="58" t="s">
        <v>1161</v>
      </c>
      <c r="M210" s="4" t="s">
        <v>1159</v>
      </c>
      <c r="N210" s="58" t="s">
        <v>1123</v>
      </c>
      <c r="O210" s="5">
        <v>102</v>
      </c>
      <c r="P210" s="5">
        <v>250</v>
      </c>
      <c r="Q210" s="5">
        <v>25500</v>
      </c>
      <c r="R210" s="5" t="s">
        <v>1146</v>
      </c>
      <c r="S210" s="3" t="s">
        <v>590</v>
      </c>
    </row>
    <row r="211" spans="1:19" ht="16.899999999999999" x14ac:dyDescent="0.4">
      <c r="A211" s="62" t="s">
        <v>1147</v>
      </c>
      <c r="B211" s="2">
        <v>45148</v>
      </c>
      <c r="C211" s="1" t="s">
        <v>29</v>
      </c>
      <c r="D211" s="3" t="s">
        <v>596</v>
      </c>
      <c r="E211" s="2">
        <v>45199</v>
      </c>
      <c r="F211" s="3" t="s">
        <v>471</v>
      </c>
      <c r="G211" s="3" t="s">
        <v>81</v>
      </c>
      <c r="H211" s="32" t="s">
        <v>1124</v>
      </c>
      <c r="I211" s="8" t="s">
        <v>487</v>
      </c>
      <c r="J211" s="1" t="s">
        <v>64</v>
      </c>
      <c r="K211" s="4" t="s">
        <v>499</v>
      </c>
      <c r="L211" s="58" t="s">
        <v>1160</v>
      </c>
      <c r="M211" s="4" t="s">
        <v>1157</v>
      </c>
      <c r="N211" s="58" t="s">
        <v>1123</v>
      </c>
      <c r="O211" s="5">
        <v>15</v>
      </c>
      <c r="P211" s="5">
        <v>400</v>
      </c>
      <c r="Q211" s="5">
        <v>6000</v>
      </c>
      <c r="R211" s="5" t="s">
        <v>1122</v>
      </c>
      <c r="S211" s="3" t="s">
        <v>597</v>
      </c>
    </row>
    <row r="212" spans="1:19" ht="16.899999999999999" x14ac:dyDescent="0.4">
      <c r="A212" s="62" t="s">
        <v>1147</v>
      </c>
      <c r="B212" s="2">
        <v>45148</v>
      </c>
      <c r="C212" s="1" t="s">
        <v>29</v>
      </c>
      <c r="D212" s="3" t="s">
        <v>598</v>
      </c>
      <c r="E212" s="2">
        <v>45199</v>
      </c>
      <c r="F212" s="3" t="s">
        <v>471</v>
      </c>
      <c r="G212" s="3" t="s">
        <v>81</v>
      </c>
      <c r="H212" s="32" t="s">
        <v>1124</v>
      </c>
      <c r="I212" s="3" t="s">
        <v>487</v>
      </c>
      <c r="J212" s="1" t="s">
        <v>562</v>
      </c>
      <c r="K212" s="4" t="s">
        <v>561</v>
      </c>
      <c r="L212" s="58" t="s">
        <v>1160</v>
      </c>
      <c r="M212" s="4" t="s">
        <v>1157</v>
      </c>
      <c r="N212" s="58" t="s">
        <v>1123</v>
      </c>
      <c r="O212" s="5">
        <v>12</v>
      </c>
      <c r="P212" s="5">
        <v>300</v>
      </c>
      <c r="Q212" s="5">
        <v>3600</v>
      </c>
      <c r="R212" s="5" t="s">
        <v>1122</v>
      </c>
      <c r="S212" s="3" t="s">
        <v>599</v>
      </c>
    </row>
    <row r="213" spans="1:19" ht="16.899999999999999" x14ac:dyDescent="0.4">
      <c r="A213" s="62" t="s">
        <v>1147</v>
      </c>
      <c r="B213" s="2">
        <v>45148</v>
      </c>
      <c r="C213" s="1" t="s">
        <v>29</v>
      </c>
      <c r="D213" s="3" t="s">
        <v>614</v>
      </c>
      <c r="E213" s="2">
        <v>45283</v>
      </c>
      <c r="F213" s="3" t="s">
        <v>471</v>
      </c>
      <c r="G213" s="3" t="s">
        <v>81</v>
      </c>
      <c r="H213" s="32" t="s">
        <v>1124</v>
      </c>
      <c r="I213" s="3" t="s">
        <v>504</v>
      </c>
      <c r="J213" s="1" t="s">
        <v>64</v>
      </c>
      <c r="K213" s="4" t="s">
        <v>409</v>
      </c>
      <c r="L213" s="58" t="s">
        <v>1161</v>
      </c>
      <c r="M213" s="4" t="s">
        <v>1157</v>
      </c>
      <c r="N213" s="58" t="s">
        <v>1123</v>
      </c>
      <c r="O213" s="5">
        <v>10.9</v>
      </c>
      <c r="P213" s="5">
        <v>3000</v>
      </c>
      <c r="Q213" s="5">
        <v>32700</v>
      </c>
      <c r="R213" s="5" t="s">
        <v>1122</v>
      </c>
      <c r="S213" s="3" t="s">
        <v>570</v>
      </c>
    </row>
    <row r="214" spans="1:19" ht="16.899999999999999" x14ac:dyDescent="0.4">
      <c r="A214" s="62" t="s">
        <v>1147</v>
      </c>
      <c r="B214" s="2">
        <v>45163</v>
      </c>
      <c r="C214" s="1" t="s">
        <v>29</v>
      </c>
      <c r="D214" s="3" t="s">
        <v>602</v>
      </c>
      <c r="E214" s="2">
        <v>45199</v>
      </c>
      <c r="F214" s="3" t="s">
        <v>471</v>
      </c>
      <c r="G214" s="3" t="s">
        <v>81</v>
      </c>
      <c r="H214" s="32" t="s">
        <v>1124</v>
      </c>
      <c r="I214" s="3" t="s">
        <v>504</v>
      </c>
      <c r="J214" s="1" t="s">
        <v>64</v>
      </c>
      <c r="K214" s="4" t="s">
        <v>558</v>
      </c>
      <c r="L214" s="58" t="s">
        <v>1161</v>
      </c>
      <c r="M214" s="4" t="s">
        <v>1157</v>
      </c>
      <c r="N214" s="58" t="s">
        <v>1123</v>
      </c>
      <c r="O214" s="5">
        <v>10.9</v>
      </c>
      <c r="P214" s="5">
        <v>4000</v>
      </c>
      <c r="Q214" s="5">
        <v>43600</v>
      </c>
      <c r="R214" s="5" t="s">
        <v>1122</v>
      </c>
      <c r="S214" s="3" t="s">
        <v>603</v>
      </c>
    </row>
    <row r="215" spans="1:19" ht="16.899999999999999" x14ac:dyDescent="0.4">
      <c r="A215" s="62" t="s">
        <v>1147</v>
      </c>
      <c r="B215" s="2">
        <v>45177</v>
      </c>
      <c r="C215" s="1" t="s">
        <v>469</v>
      </c>
      <c r="D215" s="3" t="s">
        <v>604</v>
      </c>
      <c r="E215" s="2">
        <v>45232</v>
      </c>
      <c r="F215" s="3" t="s">
        <v>471</v>
      </c>
      <c r="G215" s="3" t="s">
        <v>356</v>
      </c>
      <c r="H215" s="32" t="s">
        <v>1124</v>
      </c>
      <c r="I215" s="3" t="s">
        <v>472</v>
      </c>
      <c r="J215" s="1" t="s">
        <v>606</v>
      </c>
      <c r="K215" s="4" t="s">
        <v>605</v>
      </c>
      <c r="L215" s="58" t="s">
        <v>1161</v>
      </c>
      <c r="M215" s="4" t="s">
        <v>1153</v>
      </c>
      <c r="N215" s="58" t="s">
        <v>1123</v>
      </c>
      <c r="O215" s="5">
        <v>18.5</v>
      </c>
      <c r="P215" s="5">
        <v>500</v>
      </c>
      <c r="Q215" s="5">
        <v>9250</v>
      </c>
      <c r="R215" s="5" t="s">
        <v>1122</v>
      </c>
      <c r="S215" s="3" t="s">
        <v>607</v>
      </c>
    </row>
    <row r="216" spans="1:19" ht="16.899999999999999" x14ac:dyDescent="0.4">
      <c r="A216" s="62" t="s">
        <v>1147</v>
      </c>
      <c r="B216" s="2">
        <v>45202</v>
      </c>
      <c r="C216" s="1" t="s">
        <v>55</v>
      </c>
      <c r="D216" s="3" t="s">
        <v>608</v>
      </c>
      <c r="E216" s="2">
        <v>45229</v>
      </c>
      <c r="F216" s="3" t="s">
        <v>503</v>
      </c>
      <c r="G216" s="3" t="s">
        <v>356</v>
      </c>
      <c r="H216" s="32" t="s">
        <v>1124</v>
      </c>
      <c r="I216" s="3" t="s">
        <v>475</v>
      </c>
      <c r="J216" s="1" t="s">
        <v>460</v>
      </c>
      <c r="K216" s="4" t="s">
        <v>609</v>
      </c>
      <c r="L216" s="58" t="s">
        <v>1161</v>
      </c>
      <c r="M216" s="4" t="s">
        <v>1159</v>
      </c>
      <c r="N216" s="58" t="s">
        <v>1123</v>
      </c>
      <c r="O216" s="5">
        <v>85</v>
      </c>
      <c r="P216" s="5">
        <v>100</v>
      </c>
      <c r="Q216" s="5">
        <v>8500</v>
      </c>
      <c r="R216" s="5" t="s">
        <v>1146</v>
      </c>
      <c r="S216" s="3" t="s">
        <v>610</v>
      </c>
    </row>
    <row r="217" spans="1:19" ht="16.899999999999999" x14ac:dyDescent="0.4">
      <c r="A217" s="62" t="s">
        <v>1147</v>
      </c>
      <c r="B217" s="2">
        <v>45202</v>
      </c>
      <c r="C217" s="1" t="s">
        <v>55</v>
      </c>
      <c r="D217" s="3" t="s">
        <v>608</v>
      </c>
      <c r="E217" s="2">
        <v>45229</v>
      </c>
      <c r="F217" s="3" t="s">
        <v>503</v>
      </c>
      <c r="G217" s="3" t="s">
        <v>356</v>
      </c>
      <c r="H217" s="32" t="s">
        <v>1124</v>
      </c>
      <c r="I217" s="3" t="s">
        <v>475</v>
      </c>
      <c r="J217" s="1" t="s">
        <v>612</v>
      </c>
      <c r="K217" s="4" t="s">
        <v>611</v>
      </c>
      <c r="L217" s="58" t="s">
        <v>1161</v>
      </c>
      <c r="M217" s="4" t="s">
        <v>1159</v>
      </c>
      <c r="N217" s="58" t="s">
        <v>1123</v>
      </c>
      <c r="O217" s="5">
        <v>80</v>
      </c>
      <c r="P217" s="5">
        <v>200</v>
      </c>
      <c r="Q217" s="5">
        <v>16000</v>
      </c>
      <c r="R217" s="5" t="s">
        <v>1146</v>
      </c>
      <c r="S217" s="3" t="s">
        <v>613</v>
      </c>
    </row>
    <row r="218" spans="1:19" ht="16.899999999999999" x14ac:dyDescent="0.4">
      <c r="A218" s="62" t="s">
        <v>1147</v>
      </c>
      <c r="B218" s="2">
        <v>45217</v>
      </c>
      <c r="C218" s="1" t="s">
        <v>0</v>
      </c>
      <c r="D218" s="3" t="s">
        <v>619</v>
      </c>
      <c r="E218" s="2">
        <v>45245</v>
      </c>
      <c r="F218" s="3" t="s">
        <v>471</v>
      </c>
      <c r="G218" s="3" t="s">
        <v>356</v>
      </c>
      <c r="H218" s="32" t="s">
        <v>1124</v>
      </c>
      <c r="I218" s="3" t="s">
        <v>408</v>
      </c>
      <c r="J218" s="1" t="s">
        <v>621</v>
      </c>
      <c r="K218" s="4" t="s">
        <v>620</v>
      </c>
      <c r="L218" s="58" t="s">
        <v>1161</v>
      </c>
      <c r="M218" s="4" t="s">
        <v>1158</v>
      </c>
      <c r="N218" s="58" t="s">
        <v>1123</v>
      </c>
      <c r="O218" s="5">
        <v>17</v>
      </c>
      <c r="P218" s="5">
        <v>250</v>
      </c>
      <c r="Q218" s="5">
        <v>4250</v>
      </c>
      <c r="R218" s="5" t="s">
        <v>1145</v>
      </c>
      <c r="S218" s="3" t="s">
        <v>622</v>
      </c>
    </row>
    <row r="219" spans="1:19" ht="16.899999999999999" x14ac:dyDescent="0.4">
      <c r="A219" s="62" t="s">
        <v>1147</v>
      </c>
      <c r="B219" s="2">
        <v>45224</v>
      </c>
      <c r="C219" s="1" t="s">
        <v>469</v>
      </c>
      <c r="D219" s="3" t="s">
        <v>615</v>
      </c>
      <c r="E219" s="2">
        <v>45283</v>
      </c>
      <c r="F219" s="3" t="s">
        <v>471</v>
      </c>
      <c r="G219" s="3" t="s">
        <v>356</v>
      </c>
      <c r="H219" s="32" t="s">
        <v>1124</v>
      </c>
      <c r="I219" s="3" t="s">
        <v>616</v>
      </c>
      <c r="J219" s="1" t="s">
        <v>617</v>
      </c>
      <c r="K219" s="4">
        <v>1028463</v>
      </c>
      <c r="L219" s="58" t="s">
        <v>1161</v>
      </c>
      <c r="M219" s="4" t="s">
        <v>1153</v>
      </c>
      <c r="N219" s="58" t="s">
        <v>1123</v>
      </c>
      <c r="O219" s="5">
        <v>10</v>
      </c>
      <c r="P219" s="5">
        <v>200</v>
      </c>
      <c r="Q219" s="5">
        <v>2000</v>
      </c>
      <c r="R219" s="5" t="s">
        <v>1122</v>
      </c>
      <c r="S219" s="3" t="s">
        <v>618</v>
      </c>
    </row>
    <row r="220" spans="1:19" ht="16.899999999999999" x14ac:dyDescent="0.4">
      <c r="A220" s="62" t="s">
        <v>1147</v>
      </c>
      <c r="B220" s="2">
        <v>45236</v>
      </c>
      <c r="C220" s="1" t="s">
        <v>108</v>
      </c>
      <c r="D220" s="3" t="s">
        <v>625</v>
      </c>
      <c r="E220" s="2">
        <v>45271</v>
      </c>
      <c r="F220" s="3" t="s">
        <v>525</v>
      </c>
      <c r="G220" s="3" t="s">
        <v>356</v>
      </c>
      <c r="H220" s="32" t="s">
        <v>1124</v>
      </c>
      <c r="I220" s="3" t="s">
        <v>526</v>
      </c>
      <c r="J220" s="1" t="s">
        <v>527</v>
      </c>
      <c r="L220" s="58" t="s">
        <v>1160</v>
      </c>
      <c r="M220" s="58" t="s">
        <v>1150</v>
      </c>
      <c r="N220" s="58" t="s">
        <v>1123</v>
      </c>
      <c r="O220" s="5">
        <v>6</v>
      </c>
      <c r="P220" s="5">
        <v>1000</v>
      </c>
      <c r="Q220" s="5">
        <v>6000</v>
      </c>
      <c r="R220" s="5" t="s">
        <v>1145</v>
      </c>
      <c r="S220" s="3" t="s">
        <v>626</v>
      </c>
    </row>
    <row r="221" spans="1:19" ht="16.899999999999999" x14ac:dyDescent="0.4">
      <c r="A221" s="62" t="s">
        <v>1147</v>
      </c>
      <c r="B221" s="2">
        <v>45245</v>
      </c>
      <c r="C221" s="1" t="s">
        <v>523</v>
      </c>
      <c r="D221" s="3" t="s">
        <v>627</v>
      </c>
      <c r="E221" s="2">
        <v>45263</v>
      </c>
      <c r="F221" s="3" t="s">
        <v>525</v>
      </c>
      <c r="G221" s="3" t="s">
        <v>1126</v>
      </c>
      <c r="H221" s="32" t="s">
        <v>1124</v>
      </c>
      <c r="I221" s="3" t="s">
        <v>526</v>
      </c>
      <c r="J221" s="1" t="s">
        <v>527</v>
      </c>
      <c r="L221" s="58" t="s">
        <v>1160</v>
      </c>
      <c r="M221" s="58" t="s">
        <v>1150</v>
      </c>
      <c r="N221" s="58" t="s">
        <v>1123</v>
      </c>
      <c r="O221" s="5">
        <v>6</v>
      </c>
      <c r="P221" s="5">
        <v>1500</v>
      </c>
      <c r="Q221" s="5">
        <v>9000</v>
      </c>
      <c r="R221" s="36" t="s">
        <v>1145</v>
      </c>
      <c r="S221" s="3" t="s">
        <v>626</v>
      </c>
    </row>
    <row r="222" spans="1:19" ht="16.899999999999999" x14ac:dyDescent="0.4">
      <c r="A222" s="62" t="s">
        <v>1147</v>
      </c>
      <c r="B222" s="2">
        <v>45247</v>
      </c>
      <c r="C222" s="1" t="s">
        <v>469</v>
      </c>
      <c r="D222" s="3" t="s">
        <v>623</v>
      </c>
      <c r="E222" s="2">
        <v>45278</v>
      </c>
      <c r="F222" s="3" t="s">
        <v>471</v>
      </c>
      <c r="G222" s="3" t="s">
        <v>356</v>
      </c>
      <c r="H222" s="32" t="s">
        <v>1124</v>
      </c>
      <c r="I222" s="3" t="s">
        <v>475</v>
      </c>
      <c r="J222" s="1" t="s">
        <v>484</v>
      </c>
      <c r="K222" s="4">
        <v>1020434</v>
      </c>
      <c r="L222" s="58" t="s">
        <v>1161</v>
      </c>
      <c r="M222" s="4" t="s">
        <v>1153</v>
      </c>
      <c r="N222" s="58" t="s">
        <v>1123</v>
      </c>
      <c r="O222" s="5">
        <v>13.5</v>
      </c>
      <c r="P222" s="5">
        <v>850</v>
      </c>
      <c r="Q222" s="5">
        <v>11475</v>
      </c>
      <c r="R222" s="5" t="s">
        <v>1122</v>
      </c>
      <c r="S222" s="3" t="s">
        <v>624</v>
      </c>
    </row>
    <row r="223" spans="1:19" ht="16.899999999999999" x14ac:dyDescent="0.4">
      <c r="A223" s="62" t="s">
        <v>1147</v>
      </c>
      <c r="B223" s="2">
        <v>45253</v>
      </c>
      <c r="C223" s="1" t="s">
        <v>29</v>
      </c>
      <c r="D223" s="3" t="s">
        <v>628</v>
      </c>
      <c r="E223" s="2">
        <v>45279</v>
      </c>
      <c r="F223" s="3" t="s">
        <v>471</v>
      </c>
      <c r="G223" s="3" t="s">
        <v>81</v>
      </c>
      <c r="H223" s="32" t="s">
        <v>1124</v>
      </c>
      <c r="I223" s="3" t="s">
        <v>504</v>
      </c>
      <c r="J223" s="1" t="s">
        <v>467</v>
      </c>
      <c r="K223" s="10" t="s">
        <v>466</v>
      </c>
      <c r="L223" s="58" t="s">
        <v>1161</v>
      </c>
      <c r="M223" s="4" t="s">
        <v>1157</v>
      </c>
      <c r="N223" s="58" t="s">
        <v>1123</v>
      </c>
      <c r="O223" s="5">
        <v>10.9</v>
      </c>
      <c r="P223" s="5">
        <v>3000</v>
      </c>
      <c r="Q223" s="5">
        <v>32700</v>
      </c>
      <c r="R223" s="5" t="s">
        <v>1122</v>
      </c>
      <c r="S223" s="3" t="s">
        <v>629</v>
      </c>
    </row>
    <row r="224" spans="1:19" ht="16.899999999999999" x14ac:dyDescent="0.4">
      <c r="A224" s="62" t="s">
        <v>1147</v>
      </c>
      <c r="B224" s="2">
        <v>45253</v>
      </c>
      <c r="C224" s="1" t="s">
        <v>29</v>
      </c>
      <c r="D224" s="3" t="s">
        <v>630</v>
      </c>
      <c r="E224" s="2">
        <v>45279</v>
      </c>
      <c r="F224" s="3" t="s">
        <v>471</v>
      </c>
      <c r="G224" s="3" t="s">
        <v>81</v>
      </c>
      <c r="H224" s="32" t="s">
        <v>1124</v>
      </c>
      <c r="I224" s="3" t="s">
        <v>504</v>
      </c>
      <c r="J224" s="1" t="s">
        <v>64</v>
      </c>
      <c r="K224" s="4" t="s">
        <v>488</v>
      </c>
      <c r="L224" s="58" t="s">
        <v>1161</v>
      </c>
      <c r="M224" s="4" t="s">
        <v>1157</v>
      </c>
      <c r="N224" s="58" t="s">
        <v>1123</v>
      </c>
      <c r="O224" s="5">
        <v>12</v>
      </c>
      <c r="P224" s="5">
        <v>500</v>
      </c>
      <c r="Q224" s="5">
        <v>6000</v>
      </c>
      <c r="R224" s="5" t="s">
        <v>1122</v>
      </c>
      <c r="S224" s="3" t="s">
        <v>631</v>
      </c>
    </row>
    <row r="225" spans="1:19" ht="16.899999999999999" x14ac:dyDescent="0.4">
      <c r="A225" s="62" t="s">
        <v>1147</v>
      </c>
      <c r="B225" s="2">
        <v>45257</v>
      </c>
      <c r="C225" s="1" t="s">
        <v>0</v>
      </c>
      <c r="D225" s="3" t="s">
        <v>632</v>
      </c>
      <c r="E225" s="2">
        <v>45278</v>
      </c>
      <c r="F225" s="3" t="s">
        <v>471</v>
      </c>
      <c r="G225" s="3" t="s">
        <v>356</v>
      </c>
      <c r="H225" s="32" t="s">
        <v>1124</v>
      </c>
      <c r="I225" s="3" t="s">
        <v>475</v>
      </c>
      <c r="J225" s="1" t="s">
        <v>481</v>
      </c>
      <c r="K225" s="4">
        <v>19215</v>
      </c>
      <c r="L225" s="58" t="s">
        <v>1161</v>
      </c>
      <c r="M225" s="4" t="s">
        <v>1158</v>
      </c>
      <c r="N225" s="58" t="s">
        <v>1123</v>
      </c>
      <c r="O225" s="5">
        <v>20.399999999999999</v>
      </c>
      <c r="P225" s="5">
        <v>200</v>
      </c>
      <c r="Q225" s="5">
        <v>4080</v>
      </c>
      <c r="R225" s="5" t="s">
        <v>1145</v>
      </c>
      <c r="S225" s="3" t="s">
        <v>633</v>
      </c>
    </row>
    <row r="226" spans="1:19" ht="16.899999999999999" x14ac:dyDescent="0.4">
      <c r="A226" s="62" t="s">
        <v>1147</v>
      </c>
      <c r="B226" s="2">
        <v>45260</v>
      </c>
      <c r="C226" s="1" t="s">
        <v>634</v>
      </c>
      <c r="D226" s="3" t="s">
        <v>635</v>
      </c>
      <c r="E226" s="2">
        <v>45260</v>
      </c>
      <c r="F226" s="3" t="s">
        <v>503</v>
      </c>
      <c r="G226" s="3" t="s">
        <v>356</v>
      </c>
      <c r="H226" s="32" t="s">
        <v>1124</v>
      </c>
      <c r="I226" s="3" t="s">
        <v>408</v>
      </c>
      <c r="J226" s="1" t="s">
        <v>636</v>
      </c>
      <c r="K226" s="4">
        <v>11371</v>
      </c>
      <c r="L226" s="58" t="s">
        <v>1161</v>
      </c>
      <c r="M226" s="4" t="s">
        <v>1151</v>
      </c>
      <c r="N226" s="58" t="s">
        <v>1123</v>
      </c>
      <c r="O226" s="5">
        <v>85</v>
      </c>
      <c r="P226" s="5">
        <v>500</v>
      </c>
      <c r="Q226" s="5">
        <v>42500</v>
      </c>
      <c r="R226" s="5" t="s">
        <v>1146</v>
      </c>
      <c r="S226" s="3" t="s">
        <v>637</v>
      </c>
    </row>
    <row r="227" spans="1:19" ht="16.899999999999999" x14ac:dyDescent="0.4">
      <c r="A227" s="62" t="s">
        <v>1147</v>
      </c>
      <c r="B227" s="2">
        <v>45261</v>
      </c>
      <c r="C227" s="1" t="s">
        <v>308</v>
      </c>
      <c r="D227" s="3" t="s">
        <v>638</v>
      </c>
      <c r="E227" s="2">
        <v>45297</v>
      </c>
      <c r="F227" s="3" t="s">
        <v>525</v>
      </c>
      <c r="G227" s="3" t="s">
        <v>1119</v>
      </c>
      <c r="H227" s="32" t="s">
        <v>1124</v>
      </c>
      <c r="I227" s="3" t="s">
        <v>62</v>
      </c>
      <c r="J227" s="1" t="s">
        <v>640</v>
      </c>
      <c r="K227" s="4" t="s">
        <v>639</v>
      </c>
      <c r="L227" s="58" t="s">
        <v>1161</v>
      </c>
      <c r="M227" s="4" t="s">
        <v>1151</v>
      </c>
      <c r="N227" s="58" t="s">
        <v>1123</v>
      </c>
      <c r="O227" s="5">
        <v>20</v>
      </c>
      <c r="P227" s="5">
        <v>500</v>
      </c>
      <c r="Q227" s="5">
        <v>10000</v>
      </c>
      <c r="R227" s="5" t="s">
        <v>1145</v>
      </c>
      <c r="S227" s="3" t="s">
        <v>641</v>
      </c>
    </row>
    <row r="228" spans="1:19" ht="16.899999999999999" x14ac:dyDescent="0.4">
      <c r="A228" s="62" t="s">
        <v>1147</v>
      </c>
      <c r="B228" s="2">
        <v>45281</v>
      </c>
      <c r="C228" s="1" t="s">
        <v>29</v>
      </c>
      <c r="D228" s="3" t="s">
        <v>642</v>
      </c>
      <c r="E228" s="2">
        <v>45306</v>
      </c>
      <c r="F228" s="3" t="s">
        <v>471</v>
      </c>
      <c r="G228" s="3" t="s">
        <v>81</v>
      </c>
      <c r="H228" s="32" t="s">
        <v>1135</v>
      </c>
      <c r="I228" s="3" t="s">
        <v>408</v>
      </c>
      <c r="J228" s="1" t="s">
        <v>64</v>
      </c>
      <c r="K228" s="4" t="s">
        <v>409</v>
      </c>
      <c r="L228" s="58" t="s">
        <v>1161</v>
      </c>
      <c r="M228" s="4" t="s">
        <v>1157</v>
      </c>
      <c r="N228" s="58" t="s">
        <v>1123</v>
      </c>
      <c r="O228" s="5">
        <v>10.9</v>
      </c>
      <c r="P228" s="5">
        <v>6200</v>
      </c>
      <c r="Q228" s="5">
        <v>67580</v>
      </c>
      <c r="R228" s="5" t="s">
        <v>1122</v>
      </c>
      <c r="S228" s="3" t="s">
        <v>643</v>
      </c>
    </row>
    <row r="229" spans="1:19" ht="16.899999999999999" x14ac:dyDescent="0.4">
      <c r="A229" s="62" t="s">
        <v>1147</v>
      </c>
      <c r="B229" s="2">
        <v>45291</v>
      </c>
      <c r="C229" s="1" t="s">
        <v>0</v>
      </c>
      <c r="D229" s="3" t="s">
        <v>644</v>
      </c>
      <c r="E229" s="2">
        <v>45322</v>
      </c>
      <c r="F229" s="3" t="s">
        <v>471</v>
      </c>
      <c r="G229" s="3" t="s">
        <v>356</v>
      </c>
      <c r="H229" s="32" t="s">
        <v>1124</v>
      </c>
      <c r="I229" s="3" t="s">
        <v>475</v>
      </c>
      <c r="J229" s="1" t="s">
        <v>646</v>
      </c>
      <c r="K229" s="4" t="s">
        <v>645</v>
      </c>
      <c r="L229" s="58" t="s">
        <v>1161</v>
      </c>
      <c r="M229" s="4" t="s">
        <v>1158</v>
      </c>
      <c r="N229" s="58" t="s">
        <v>1123</v>
      </c>
      <c r="O229" s="5">
        <v>19</v>
      </c>
      <c r="P229" s="5">
        <v>3750</v>
      </c>
      <c r="Q229" s="5">
        <v>71250</v>
      </c>
      <c r="R229" s="5" t="s">
        <v>1145</v>
      </c>
      <c r="S229" s="3" t="s">
        <v>647</v>
      </c>
    </row>
    <row r="230" spans="1:19" ht="16.899999999999999" x14ac:dyDescent="0.4">
      <c r="A230" s="62" t="s">
        <v>1147</v>
      </c>
      <c r="B230" s="2">
        <v>45296</v>
      </c>
      <c r="C230" s="1" t="s">
        <v>108</v>
      </c>
      <c r="D230" s="3" t="s">
        <v>648</v>
      </c>
      <c r="E230" s="2">
        <v>45309</v>
      </c>
      <c r="F230" s="3" t="s">
        <v>649</v>
      </c>
      <c r="G230" s="3" t="s">
        <v>356</v>
      </c>
      <c r="H230" s="32" t="s">
        <v>1124</v>
      </c>
      <c r="I230" s="8" t="s">
        <v>650</v>
      </c>
      <c r="J230" s="1" t="s">
        <v>640</v>
      </c>
      <c r="K230" s="4" t="s">
        <v>609</v>
      </c>
      <c r="L230" s="58" t="s">
        <v>1161</v>
      </c>
      <c r="M230" s="4" t="s">
        <v>1151</v>
      </c>
      <c r="N230" s="58" t="s">
        <v>1123</v>
      </c>
      <c r="O230" s="5">
        <v>19.3</v>
      </c>
      <c r="P230" s="5">
        <v>500</v>
      </c>
      <c r="Q230" s="5">
        <v>9650</v>
      </c>
      <c r="R230" s="5" t="s">
        <v>1145</v>
      </c>
      <c r="S230" s="3" t="s">
        <v>651</v>
      </c>
    </row>
    <row r="231" spans="1:19" ht="16.899999999999999" x14ac:dyDescent="0.4">
      <c r="A231" s="62" t="s">
        <v>1147</v>
      </c>
      <c r="B231" s="2">
        <v>45306</v>
      </c>
      <c r="C231" s="1" t="s">
        <v>29</v>
      </c>
      <c r="D231" s="3" t="s">
        <v>652</v>
      </c>
      <c r="E231" s="2">
        <v>45381</v>
      </c>
      <c r="F231" s="3" t="s">
        <v>471</v>
      </c>
      <c r="G231" s="3" t="s">
        <v>81</v>
      </c>
      <c r="H231" s="32" t="s">
        <v>1124</v>
      </c>
      <c r="I231" s="3" t="s">
        <v>408</v>
      </c>
      <c r="J231" s="1" t="s">
        <v>653</v>
      </c>
      <c r="K231" s="4">
        <v>11371</v>
      </c>
      <c r="L231" s="58" t="s">
        <v>1161</v>
      </c>
      <c r="M231" s="4" t="s">
        <v>1157</v>
      </c>
      <c r="N231" s="58" t="s">
        <v>1123</v>
      </c>
      <c r="O231" s="5">
        <v>12.3</v>
      </c>
      <c r="P231" s="5">
        <v>500</v>
      </c>
      <c r="Q231" s="5">
        <v>6150</v>
      </c>
      <c r="R231" s="5" t="s">
        <v>1122</v>
      </c>
      <c r="S231" s="3" t="s">
        <v>654</v>
      </c>
    </row>
    <row r="232" spans="1:19" ht="16.899999999999999" x14ac:dyDescent="0.4">
      <c r="A232" s="62" t="s">
        <v>1147</v>
      </c>
      <c r="B232" s="2">
        <v>45306</v>
      </c>
      <c r="C232" s="1" t="s">
        <v>501</v>
      </c>
      <c r="D232" s="3" t="s">
        <v>655</v>
      </c>
      <c r="E232" s="2">
        <v>45354</v>
      </c>
      <c r="F232" s="3" t="s">
        <v>503</v>
      </c>
      <c r="G232" s="3" t="s">
        <v>356</v>
      </c>
      <c r="H232" s="32" t="s">
        <v>1124</v>
      </c>
      <c r="I232" s="3" t="s">
        <v>656</v>
      </c>
      <c r="J232" s="1" t="s">
        <v>658</v>
      </c>
      <c r="K232" s="4" t="s">
        <v>657</v>
      </c>
      <c r="L232" s="58" t="s">
        <v>1161</v>
      </c>
      <c r="M232" s="4" t="s">
        <v>1151</v>
      </c>
      <c r="N232" s="58" t="s">
        <v>1123</v>
      </c>
      <c r="O232" s="5">
        <v>84.75</v>
      </c>
      <c r="P232" s="5">
        <v>1000</v>
      </c>
      <c r="Q232" s="5">
        <v>84750</v>
      </c>
      <c r="R232" s="5" t="s">
        <v>1146</v>
      </c>
      <c r="S232" s="3" t="s">
        <v>659</v>
      </c>
    </row>
    <row r="233" spans="1:19" ht="16.899999999999999" x14ac:dyDescent="0.4">
      <c r="A233" s="62" t="s">
        <v>1147</v>
      </c>
      <c r="B233" s="2">
        <v>45324</v>
      </c>
      <c r="C233" s="1" t="s">
        <v>0</v>
      </c>
      <c r="D233" s="3" t="s">
        <v>660</v>
      </c>
      <c r="E233" s="2">
        <v>45381</v>
      </c>
      <c r="F233" s="3" t="s">
        <v>1140</v>
      </c>
      <c r="G233" s="3" t="s">
        <v>356</v>
      </c>
      <c r="H233" s="32" t="s">
        <v>1124</v>
      </c>
      <c r="I233" s="3" t="s">
        <v>472</v>
      </c>
      <c r="J233" s="1" t="s">
        <v>661</v>
      </c>
      <c r="K233" s="4">
        <v>20220919</v>
      </c>
      <c r="L233" s="58" t="s">
        <v>1161</v>
      </c>
      <c r="M233" s="4" t="s">
        <v>1158</v>
      </c>
      <c r="N233" s="58" t="s">
        <v>1123</v>
      </c>
      <c r="O233" s="5">
        <v>27.5</v>
      </c>
      <c r="P233" s="5">
        <v>1000</v>
      </c>
      <c r="Q233" s="5">
        <v>27500</v>
      </c>
      <c r="R233" s="5" t="s">
        <v>1145</v>
      </c>
      <c r="S233" s="11" t="s">
        <v>662</v>
      </c>
    </row>
    <row r="234" spans="1:19" ht="16.899999999999999" x14ac:dyDescent="0.4">
      <c r="A234" s="62" t="s">
        <v>1147</v>
      </c>
      <c r="B234" s="2">
        <v>45342</v>
      </c>
      <c r="C234" s="1" t="s">
        <v>120</v>
      </c>
      <c r="D234" s="3" t="s">
        <v>663</v>
      </c>
      <c r="E234" s="2">
        <v>45373</v>
      </c>
      <c r="F234" s="3" t="s">
        <v>503</v>
      </c>
      <c r="G234" s="3" t="s">
        <v>356</v>
      </c>
      <c r="H234" s="32" t="s">
        <v>1124</v>
      </c>
      <c r="I234" s="3" t="s">
        <v>584</v>
      </c>
      <c r="J234" s="1" t="s">
        <v>665</v>
      </c>
      <c r="K234" s="4" t="s">
        <v>664</v>
      </c>
      <c r="L234" s="58" t="s">
        <v>1161</v>
      </c>
      <c r="M234" s="4" t="s">
        <v>1151</v>
      </c>
      <c r="N234" s="58" t="s">
        <v>1123</v>
      </c>
      <c r="O234" s="5">
        <v>15.1</v>
      </c>
      <c r="P234" s="5">
        <v>250</v>
      </c>
      <c r="Q234" s="5">
        <v>3775</v>
      </c>
      <c r="R234" s="5" t="s">
        <v>1145</v>
      </c>
      <c r="S234" s="3" t="s">
        <v>666</v>
      </c>
    </row>
    <row r="235" spans="1:19" ht="16.899999999999999" x14ac:dyDescent="0.4">
      <c r="A235" s="62" t="s">
        <v>1147</v>
      </c>
      <c r="B235" s="2">
        <v>45345</v>
      </c>
      <c r="C235" s="1" t="s">
        <v>29</v>
      </c>
      <c r="D235" s="3" t="s">
        <v>667</v>
      </c>
      <c r="E235" s="2">
        <v>45381</v>
      </c>
      <c r="F235" s="3" t="s">
        <v>471</v>
      </c>
      <c r="G235" s="3" t="s">
        <v>81</v>
      </c>
      <c r="H235" s="32" t="s">
        <v>1124</v>
      </c>
      <c r="I235" s="3" t="s">
        <v>668</v>
      </c>
      <c r="J235" s="1" t="s">
        <v>670</v>
      </c>
      <c r="K235" s="4" t="s">
        <v>669</v>
      </c>
      <c r="L235" s="58" t="s">
        <v>1160</v>
      </c>
      <c r="M235" s="4" t="s">
        <v>1157</v>
      </c>
      <c r="N235" s="58" t="s">
        <v>1123</v>
      </c>
      <c r="O235" s="5">
        <v>19.5</v>
      </c>
      <c r="P235" s="5">
        <v>100</v>
      </c>
      <c r="Q235" s="5">
        <v>1950</v>
      </c>
      <c r="R235" s="5" t="s">
        <v>1122</v>
      </c>
      <c r="S235" s="3" t="s">
        <v>671</v>
      </c>
    </row>
    <row r="236" spans="1:19" ht="16.899999999999999" x14ac:dyDescent="0.4">
      <c r="A236" s="62" t="s">
        <v>1147</v>
      </c>
      <c r="B236" s="2">
        <v>45345</v>
      </c>
      <c r="C236" s="1" t="s">
        <v>29</v>
      </c>
      <c r="D236" s="3" t="s">
        <v>672</v>
      </c>
      <c r="E236" s="2">
        <v>45381</v>
      </c>
      <c r="F236" s="3" t="s">
        <v>471</v>
      </c>
      <c r="G236" s="3" t="s">
        <v>81</v>
      </c>
      <c r="H236" s="32" t="s">
        <v>1124</v>
      </c>
      <c r="I236" s="3" t="s">
        <v>504</v>
      </c>
      <c r="J236" s="1" t="s">
        <v>673</v>
      </c>
      <c r="K236" s="4" t="s">
        <v>409</v>
      </c>
      <c r="L236" s="58" t="s">
        <v>1161</v>
      </c>
      <c r="M236" s="4" t="s">
        <v>1157</v>
      </c>
      <c r="N236" s="58" t="s">
        <v>1123</v>
      </c>
      <c r="O236" s="5">
        <v>10.9</v>
      </c>
      <c r="P236" s="5">
        <v>1500</v>
      </c>
      <c r="Q236" s="5">
        <v>16350</v>
      </c>
      <c r="R236" s="5" t="s">
        <v>1122</v>
      </c>
      <c r="S236" s="3" t="s">
        <v>674</v>
      </c>
    </row>
    <row r="237" spans="1:19" ht="16.899999999999999" x14ac:dyDescent="0.4">
      <c r="A237" s="62" t="s">
        <v>1147</v>
      </c>
      <c r="B237" s="2">
        <v>45349</v>
      </c>
      <c r="C237" s="1" t="s">
        <v>55</v>
      </c>
      <c r="D237" s="3" t="s">
        <v>679</v>
      </c>
      <c r="E237" s="2">
        <v>45370</v>
      </c>
      <c r="F237" s="3" t="s">
        <v>503</v>
      </c>
      <c r="G237" s="3" t="s">
        <v>356</v>
      </c>
      <c r="H237" s="32" t="s">
        <v>1124</v>
      </c>
      <c r="I237" s="3" t="s">
        <v>504</v>
      </c>
      <c r="J237" s="1" t="s">
        <v>677</v>
      </c>
      <c r="K237" s="4" t="s">
        <v>676</v>
      </c>
      <c r="L237" s="58" t="s">
        <v>1161</v>
      </c>
      <c r="M237" s="4" t="s">
        <v>1159</v>
      </c>
      <c r="N237" s="58" t="s">
        <v>1123</v>
      </c>
      <c r="O237" s="5">
        <v>85</v>
      </c>
      <c r="P237" s="5">
        <v>300</v>
      </c>
      <c r="Q237" s="5">
        <v>25500</v>
      </c>
      <c r="R237" s="5" t="s">
        <v>1146</v>
      </c>
      <c r="S237" s="3" t="s">
        <v>680</v>
      </c>
    </row>
    <row r="238" spans="1:19" ht="16.899999999999999" x14ac:dyDescent="0.4">
      <c r="A238" s="62" t="s">
        <v>1147</v>
      </c>
      <c r="B238" s="2">
        <v>45349</v>
      </c>
      <c r="C238" s="1" t="s">
        <v>501</v>
      </c>
      <c r="D238" s="3" t="s">
        <v>675</v>
      </c>
      <c r="E238" s="2">
        <v>45361</v>
      </c>
      <c r="F238" s="3" t="s">
        <v>503</v>
      </c>
      <c r="G238" s="3" t="s">
        <v>356</v>
      </c>
      <c r="H238" s="32" t="s">
        <v>1124</v>
      </c>
      <c r="I238" s="3" t="s">
        <v>504</v>
      </c>
      <c r="J238" s="1" t="s">
        <v>677</v>
      </c>
      <c r="K238" s="4" t="s">
        <v>676</v>
      </c>
      <c r="L238" s="58" t="s">
        <v>1161</v>
      </c>
      <c r="M238" s="4" t="s">
        <v>1151</v>
      </c>
      <c r="N238" s="58" t="s">
        <v>1123</v>
      </c>
      <c r="O238" s="5">
        <v>84.75</v>
      </c>
      <c r="P238" s="5">
        <v>1100</v>
      </c>
      <c r="Q238" s="5">
        <v>93225</v>
      </c>
      <c r="R238" s="5" t="s">
        <v>1146</v>
      </c>
      <c r="S238" s="3" t="s">
        <v>678</v>
      </c>
    </row>
    <row r="239" spans="1:19" ht="16.899999999999999" x14ac:dyDescent="0.4">
      <c r="A239" s="62" t="s">
        <v>1147</v>
      </c>
      <c r="B239" s="2">
        <v>45358</v>
      </c>
      <c r="C239" s="1" t="s">
        <v>681</v>
      </c>
      <c r="D239" s="3" t="s">
        <v>682</v>
      </c>
      <c r="E239" s="2">
        <v>45392</v>
      </c>
      <c r="F239" s="3" t="s">
        <v>1140</v>
      </c>
      <c r="G239" s="3" t="s">
        <v>356</v>
      </c>
      <c r="H239" s="32" t="s">
        <v>1124</v>
      </c>
      <c r="I239" s="3" t="s">
        <v>683</v>
      </c>
      <c r="J239" s="1" t="s">
        <v>685</v>
      </c>
      <c r="K239" s="4" t="s">
        <v>684</v>
      </c>
      <c r="L239" s="58" t="s">
        <v>1161</v>
      </c>
      <c r="M239" s="4" t="s">
        <v>1151</v>
      </c>
      <c r="N239" s="58" t="s">
        <v>1123</v>
      </c>
      <c r="O239" s="5">
        <v>85</v>
      </c>
      <c r="P239" s="5">
        <v>3800</v>
      </c>
      <c r="Q239" s="5">
        <f>SUM(O239*P239)</f>
        <v>323000</v>
      </c>
      <c r="R239" s="5" t="s">
        <v>1146</v>
      </c>
      <c r="S239" s="3" t="s">
        <v>686</v>
      </c>
    </row>
    <row r="240" spans="1:19" ht="16.899999999999999" x14ac:dyDescent="0.4">
      <c r="A240" s="62" t="s">
        <v>1147</v>
      </c>
      <c r="B240" s="2">
        <v>45385</v>
      </c>
      <c r="C240" s="1" t="s">
        <v>29</v>
      </c>
      <c r="D240" s="3" t="s">
        <v>687</v>
      </c>
      <c r="E240" s="2">
        <v>45402</v>
      </c>
      <c r="F240" s="3" t="s">
        <v>471</v>
      </c>
      <c r="G240" s="3" t="s">
        <v>81</v>
      </c>
      <c r="H240" s="32" t="s">
        <v>1124</v>
      </c>
      <c r="I240" s="3" t="s">
        <v>230</v>
      </c>
      <c r="J240" s="1" t="s">
        <v>689</v>
      </c>
      <c r="K240" s="4" t="s">
        <v>688</v>
      </c>
      <c r="L240" s="58" t="s">
        <v>1161</v>
      </c>
      <c r="M240" s="4" t="s">
        <v>1157</v>
      </c>
      <c r="N240" s="58" t="s">
        <v>1123</v>
      </c>
      <c r="O240" s="5">
        <v>12.5</v>
      </c>
      <c r="P240" s="5">
        <v>100</v>
      </c>
      <c r="Q240" s="5">
        <v>1250</v>
      </c>
      <c r="R240" s="5" t="s">
        <v>1122</v>
      </c>
      <c r="S240" s="12" t="s">
        <v>690</v>
      </c>
    </row>
    <row r="241" spans="1:19" ht="16.899999999999999" x14ac:dyDescent="0.4">
      <c r="A241" s="62" t="s">
        <v>1147</v>
      </c>
      <c r="B241" s="2">
        <v>45385</v>
      </c>
      <c r="C241" s="1" t="s">
        <v>29</v>
      </c>
      <c r="D241" s="3" t="s">
        <v>691</v>
      </c>
      <c r="E241" s="2">
        <v>45402</v>
      </c>
      <c r="F241" s="3" t="s">
        <v>471</v>
      </c>
      <c r="G241" s="3" t="s">
        <v>81</v>
      </c>
      <c r="H241" s="32" t="s">
        <v>1124</v>
      </c>
      <c r="I241" s="3" t="s">
        <v>504</v>
      </c>
      <c r="J241" s="1" t="s">
        <v>673</v>
      </c>
      <c r="K241" s="4" t="s">
        <v>409</v>
      </c>
      <c r="L241" s="58" t="s">
        <v>1161</v>
      </c>
      <c r="M241" s="4" t="s">
        <v>1157</v>
      </c>
      <c r="N241" s="58" t="s">
        <v>1123</v>
      </c>
      <c r="O241" s="5">
        <v>10.9</v>
      </c>
      <c r="P241" s="5">
        <v>1500</v>
      </c>
      <c r="Q241" s="5">
        <v>16350</v>
      </c>
      <c r="R241" s="5" t="s">
        <v>1122</v>
      </c>
      <c r="S241" s="12" t="s">
        <v>692</v>
      </c>
    </row>
    <row r="242" spans="1:19" ht="16.899999999999999" x14ac:dyDescent="0.4">
      <c r="A242" s="62" t="s">
        <v>1147</v>
      </c>
      <c r="B242" s="2">
        <v>45386</v>
      </c>
      <c r="C242" s="1" t="s">
        <v>29</v>
      </c>
      <c r="D242" s="3" t="s">
        <v>693</v>
      </c>
      <c r="E242" s="2">
        <v>45404</v>
      </c>
      <c r="F242" s="3" t="s">
        <v>1136</v>
      </c>
      <c r="G242" s="3" t="s">
        <v>81</v>
      </c>
      <c r="H242" s="32" t="s">
        <v>1124</v>
      </c>
      <c r="I242" s="3" t="s">
        <v>504</v>
      </c>
      <c r="J242" s="1" t="s">
        <v>695</v>
      </c>
      <c r="K242" s="4" t="s">
        <v>694</v>
      </c>
      <c r="L242" s="58" t="s">
        <v>1161</v>
      </c>
      <c r="M242" s="4" t="s">
        <v>1157</v>
      </c>
      <c r="N242" s="58" t="s">
        <v>1123</v>
      </c>
      <c r="O242" s="5">
        <v>12.2</v>
      </c>
      <c r="P242" s="5">
        <v>4000</v>
      </c>
      <c r="Q242" s="5">
        <v>48800</v>
      </c>
      <c r="R242" s="5" t="s">
        <v>1122</v>
      </c>
      <c r="S242" s="3" t="s">
        <v>1137</v>
      </c>
    </row>
    <row r="243" spans="1:19" ht="16.899999999999999" x14ac:dyDescent="0.4">
      <c r="A243" s="62" t="s">
        <v>1147</v>
      </c>
      <c r="B243" s="2">
        <v>45391</v>
      </c>
      <c r="C243" s="1" t="s">
        <v>501</v>
      </c>
      <c r="D243" s="3" t="s">
        <v>675</v>
      </c>
      <c r="E243" s="2">
        <v>45412</v>
      </c>
      <c r="F243" s="3" t="s">
        <v>503</v>
      </c>
      <c r="G243" s="3" t="s">
        <v>356</v>
      </c>
      <c r="H243" s="32" t="s">
        <v>1124</v>
      </c>
      <c r="I243" s="3" t="s">
        <v>504</v>
      </c>
      <c r="J243" s="1" t="s">
        <v>677</v>
      </c>
      <c r="K243" s="4" t="s">
        <v>676</v>
      </c>
      <c r="L243" s="58" t="s">
        <v>1161</v>
      </c>
      <c r="M243" s="4" t="s">
        <v>1151</v>
      </c>
      <c r="N243" s="58" t="s">
        <v>1123</v>
      </c>
      <c r="O243" s="5">
        <v>84.75</v>
      </c>
      <c r="P243" s="5">
        <v>1200</v>
      </c>
      <c r="Q243" s="5">
        <v>101700</v>
      </c>
      <c r="R243" s="5" t="s">
        <v>1146</v>
      </c>
      <c r="S243" s="3" t="s">
        <v>696</v>
      </c>
    </row>
    <row r="244" spans="1:19" ht="16.899999999999999" x14ac:dyDescent="0.4">
      <c r="A244" s="62" t="s">
        <v>1147</v>
      </c>
      <c r="B244" s="2">
        <v>45402</v>
      </c>
      <c r="C244" s="1" t="s">
        <v>711</v>
      </c>
      <c r="D244" s="3" t="s">
        <v>712</v>
      </c>
      <c r="E244" s="2">
        <v>45418</v>
      </c>
      <c r="F244" s="3" t="s">
        <v>503</v>
      </c>
      <c r="G244" s="3" t="s">
        <v>356</v>
      </c>
      <c r="H244" s="32" t="s">
        <v>1124</v>
      </c>
      <c r="I244" s="3" t="s">
        <v>713</v>
      </c>
      <c r="J244" s="1" t="s">
        <v>714</v>
      </c>
      <c r="K244" s="4">
        <v>1075552898</v>
      </c>
      <c r="L244" s="58" t="s">
        <v>1161</v>
      </c>
      <c r="M244" s="4" t="s">
        <v>1151</v>
      </c>
      <c r="N244" s="58" t="s">
        <v>1123</v>
      </c>
      <c r="O244" s="5">
        <v>70</v>
      </c>
      <c r="P244" s="5">
        <v>500</v>
      </c>
      <c r="Q244" s="5">
        <v>35000</v>
      </c>
      <c r="R244" s="5" t="s">
        <v>1146</v>
      </c>
      <c r="S244" s="3" t="s">
        <v>715</v>
      </c>
    </row>
    <row r="245" spans="1:19" ht="16.899999999999999" x14ac:dyDescent="0.4">
      <c r="A245" s="62" t="s">
        <v>1147</v>
      </c>
      <c r="B245" s="2">
        <v>45404</v>
      </c>
      <c r="C245" s="1" t="s">
        <v>108</v>
      </c>
      <c r="D245" s="3" t="s">
        <v>697</v>
      </c>
      <c r="E245" s="2">
        <v>45422</v>
      </c>
      <c r="F245" s="3" t="s">
        <v>525</v>
      </c>
      <c r="G245" s="3" t="s">
        <v>356</v>
      </c>
      <c r="H245" s="32" t="s">
        <v>1124</v>
      </c>
      <c r="I245" s="3" t="s">
        <v>650</v>
      </c>
      <c r="J245" s="1" t="s">
        <v>698</v>
      </c>
      <c r="K245" s="4" t="s">
        <v>609</v>
      </c>
      <c r="L245" s="58" t="s">
        <v>1161</v>
      </c>
      <c r="M245" s="4" t="s">
        <v>1151</v>
      </c>
      <c r="N245" s="58" t="s">
        <v>1123</v>
      </c>
      <c r="O245" s="5">
        <v>19</v>
      </c>
      <c r="P245" s="5">
        <v>3200</v>
      </c>
      <c r="Q245" s="5">
        <v>60800</v>
      </c>
      <c r="R245" s="5" t="s">
        <v>1145</v>
      </c>
      <c r="S245" s="3" t="s">
        <v>699</v>
      </c>
    </row>
    <row r="246" spans="1:19" ht="16.899999999999999" x14ac:dyDescent="0.4">
      <c r="A246" s="62" t="s">
        <v>1147</v>
      </c>
      <c r="B246" s="2">
        <v>45408</v>
      </c>
      <c r="C246" s="1" t="s">
        <v>29</v>
      </c>
      <c r="D246" s="3" t="s">
        <v>707</v>
      </c>
      <c r="E246" s="2">
        <v>45487</v>
      </c>
      <c r="F246" s="3" t="s">
        <v>471</v>
      </c>
      <c r="G246" s="3" t="s">
        <v>81</v>
      </c>
      <c r="H246" s="32" t="s">
        <v>1124</v>
      </c>
      <c r="I246" s="3" t="s">
        <v>504</v>
      </c>
      <c r="J246" s="1" t="s">
        <v>673</v>
      </c>
      <c r="K246" s="4" t="s">
        <v>409</v>
      </c>
      <c r="L246" s="58" t="s">
        <v>1161</v>
      </c>
      <c r="M246" s="4" t="s">
        <v>1157</v>
      </c>
      <c r="N246" s="58" t="s">
        <v>1123</v>
      </c>
      <c r="O246" s="5">
        <v>10.9</v>
      </c>
      <c r="P246" s="5">
        <v>4800</v>
      </c>
      <c r="Q246" s="5">
        <v>52320</v>
      </c>
      <c r="R246" s="5" t="s">
        <v>1122</v>
      </c>
      <c r="S246" s="3" t="s">
        <v>708</v>
      </c>
    </row>
    <row r="247" spans="1:19" ht="16.899999999999999" x14ac:dyDescent="0.4">
      <c r="A247" s="62" t="s">
        <v>1147</v>
      </c>
      <c r="B247" s="2">
        <v>45408</v>
      </c>
      <c r="C247" s="1" t="s">
        <v>29</v>
      </c>
      <c r="D247" s="3" t="s">
        <v>709</v>
      </c>
      <c r="E247" s="2">
        <v>45487</v>
      </c>
      <c r="F247" s="3" t="s">
        <v>471</v>
      </c>
      <c r="G247" s="3" t="s">
        <v>81</v>
      </c>
      <c r="H247" s="32" t="s">
        <v>1124</v>
      </c>
      <c r="I247" s="3" t="s">
        <v>504</v>
      </c>
      <c r="J247" s="1" t="s">
        <v>454</v>
      </c>
      <c r="K247" s="4" t="s">
        <v>457</v>
      </c>
      <c r="L247" s="58" t="s">
        <v>1161</v>
      </c>
      <c r="M247" s="4" t="s">
        <v>1157</v>
      </c>
      <c r="N247" s="58" t="s">
        <v>1123</v>
      </c>
      <c r="O247" s="5">
        <v>12.3</v>
      </c>
      <c r="P247" s="5">
        <v>200</v>
      </c>
      <c r="Q247" s="5">
        <v>2460</v>
      </c>
      <c r="R247" s="5" t="s">
        <v>1122</v>
      </c>
      <c r="S247" s="3" t="s">
        <v>710</v>
      </c>
    </row>
    <row r="248" spans="1:19" ht="16.899999999999999" x14ac:dyDescent="0.4">
      <c r="A248" s="62" t="s">
        <v>1147</v>
      </c>
      <c r="B248" s="2">
        <v>45408</v>
      </c>
      <c r="C248" s="1" t="s">
        <v>700</v>
      </c>
      <c r="D248" s="3" t="s">
        <v>701</v>
      </c>
      <c r="E248" s="2">
        <v>45443</v>
      </c>
      <c r="F248" s="3" t="s">
        <v>702</v>
      </c>
      <c r="G248" s="3" t="s">
        <v>356</v>
      </c>
      <c r="H248" s="32" t="s">
        <v>1130</v>
      </c>
      <c r="I248" s="3" t="s">
        <v>703</v>
      </c>
      <c r="J248" s="1" t="s">
        <v>705</v>
      </c>
      <c r="K248" s="4" t="s">
        <v>704</v>
      </c>
      <c r="L248" s="58" t="s">
        <v>1160</v>
      </c>
      <c r="M248" s="58" t="s">
        <v>1150</v>
      </c>
      <c r="N248" s="58" t="s">
        <v>1123</v>
      </c>
      <c r="O248" s="5">
        <v>0.15</v>
      </c>
      <c r="P248" s="5">
        <v>500</v>
      </c>
      <c r="Q248" s="5">
        <v>75</v>
      </c>
      <c r="R248" s="5" t="s">
        <v>1146</v>
      </c>
      <c r="S248" s="3" t="s">
        <v>706</v>
      </c>
    </row>
    <row r="249" spans="1:19" ht="16.899999999999999" x14ac:dyDescent="0.4">
      <c r="A249" s="62" t="s">
        <v>1147</v>
      </c>
      <c r="B249" s="2">
        <v>45415</v>
      </c>
      <c r="C249" s="1" t="s">
        <v>29</v>
      </c>
      <c r="D249" s="3" t="s">
        <v>716</v>
      </c>
      <c r="E249" s="2">
        <v>45487</v>
      </c>
      <c r="F249" s="3" t="s">
        <v>471</v>
      </c>
      <c r="G249" s="3" t="s">
        <v>81</v>
      </c>
      <c r="H249" s="32" t="s">
        <v>1124</v>
      </c>
      <c r="I249" s="8" t="s">
        <v>487</v>
      </c>
      <c r="J249" s="1" t="s">
        <v>718</v>
      </c>
      <c r="K249" s="4" t="s">
        <v>717</v>
      </c>
      <c r="L249" s="58" t="s">
        <v>1161</v>
      </c>
      <c r="M249" s="4" t="s">
        <v>1157</v>
      </c>
      <c r="N249" s="58" t="s">
        <v>1123</v>
      </c>
      <c r="O249" s="5">
        <v>10.9</v>
      </c>
      <c r="P249" s="5">
        <v>400</v>
      </c>
      <c r="Q249" s="5">
        <v>4360</v>
      </c>
      <c r="R249" s="5" t="s">
        <v>1122</v>
      </c>
      <c r="S249" s="3" t="s">
        <v>719</v>
      </c>
    </row>
    <row r="250" spans="1:19" ht="16.899999999999999" x14ac:dyDescent="0.4">
      <c r="A250" s="62" t="s">
        <v>1147</v>
      </c>
      <c r="B250" s="2">
        <v>45415</v>
      </c>
      <c r="C250" s="1" t="s">
        <v>29</v>
      </c>
      <c r="D250" s="3" t="s">
        <v>720</v>
      </c>
      <c r="E250" s="2">
        <v>45487</v>
      </c>
      <c r="F250" s="3" t="s">
        <v>471</v>
      </c>
      <c r="G250" s="3" t="s">
        <v>81</v>
      </c>
      <c r="H250" s="32" t="s">
        <v>1124</v>
      </c>
      <c r="I250" s="3" t="s">
        <v>504</v>
      </c>
      <c r="J250" s="1" t="s">
        <v>673</v>
      </c>
      <c r="K250" s="4" t="s">
        <v>409</v>
      </c>
      <c r="L250" s="58" t="s">
        <v>1161</v>
      </c>
      <c r="M250" s="4" t="s">
        <v>1157</v>
      </c>
      <c r="N250" s="58" t="s">
        <v>1123</v>
      </c>
      <c r="O250" s="5">
        <v>10.9</v>
      </c>
      <c r="P250" s="5">
        <v>3900</v>
      </c>
      <c r="Q250" s="5">
        <v>42510</v>
      </c>
      <c r="R250" s="5" t="s">
        <v>1122</v>
      </c>
      <c r="S250" s="3" t="s">
        <v>721</v>
      </c>
    </row>
    <row r="251" spans="1:19" ht="16.899999999999999" x14ac:dyDescent="0.4">
      <c r="A251" s="62" t="s">
        <v>1147</v>
      </c>
      <c r="B251" s="2">
        <v>45422</v>
      </c>
      <c r="C251" s="1" t="s">
        <v>722</v>
      </c>
      <c r="D251" s="3" t="s">
        <v>723</v>
      </c>
      <c r="E251" s="2">
        <v>45468</v>
      </c>
      <c r="F251" s="3" t="s">
        <v>503</v>
      </c>
      <c r="G251" s="3" t="s">
        <v>356</v>
      </c>
      <c r="H251" s="32" t="s">
        <v>1124</v>
      </c>
      <c r="I251" s="3" t="s">
        <v>724</v>
      </c>
      <c r="J251" s="1" t="s">
        <v>698</v>
      </c>
      <c r="K251" s="4" t="s">
        <v>725</v>
      </c>
      <c r="L251" s="58" t="s">
        <v>1161</v>
      </c>
      <c r="M251" s="4" t="s">
        <v>1151</v>
      </c>
      <c r="N251" s="58" t="s">
        <v>1123</v>
      </c>
      <c r="O251" s="5">
        <v>107</v>
      </c>
      <c r="P251" s="5">
        <v>1000</v>
      </c>
      <c r="Q251" s="5">
        <v>107000</v>
      </c>
      <c r="R251" s="5" t="s">
        <v>1146</v>
      </c>
      <c r="S251" s="3" t="s">
        <v>726</v>
      </c>
    </row>
    <row r="252" spans="1:19" ht="16.899999999999999" x14ac:dyDescent="0.4">
      <c r="A252" s="62" t="s">
        <v>1147</v>
      </c>
      <c r="B252" s="2">
        <v>45422</v>
      </c>
      <c r="C252" s="1" t="s">
        <v>727</v>
      </c>
      <c r="D252" s="3" t="s">
        <v>728</v>
      </c>
      <c r="E252" s="2">
        <v>45468</v>
      </c>
      <c r="F252" s="3" t="s">
        <v>593</v>
      </c>
      <c r="G252" s="3" t="s">
        <v>356</v>
      </c>
      <c r="H252" s="32" t="s">
        <v>1124</v>
      </c>
      <c r="I252" s="8" t="s">
        <v>729</v>
      </c>
      <c r="J252" s="1" t="s">
        <v>730</v>
      </c>
      <c r="K252" s="4">
        <v>1020434</v>
      </c>
      <c r="L252" s="58" t="s">
        <v>1161</v>
      </c>
      <c r="M252" s="4" t="s">
        <v>1151</v>
      </c>
      <c r="N252" s="58" t="s">
        <v>1123</v>
      </c>
      <c r="O252" s="5">
        <v>97</v>
      </c>
      <c r="P252" s="5">
        <v>200</v>
      </c>
      <c r="Q252" s="5">
        <v>19400</v>
      </c>
      <c r="R252" s="5" t="s">
        <v>1146</v>
      </c>
      <c r="S252" s="3" t="s">
        <v>731</v>
      </c>
    </row>
    <row r="253" spans="1:19" ht="16.899999999999999" x14ac:dyDescent="0.4">
      <c r="A253" s="62" t="s">
        <v>1147</v>
      </c>
      <c r="B253" s="2">
        <v>45422</v>
      </c>
      <c r="C253" s="1" t="s">
        <v>727</v>
      </c>
      <c r="D253" s="3" t="s">
        <v>728</v>
      </c>
      <c r="E253" s="2">
        <v>45468</v>
      </c>
      <c r="F253" s="3" t="s">
        <v>593</v>
      </c>
      <c r="G253" s="3" t="s">
        <v>356</v>
      </c>
      <c r="H253" s="32" t="s">
        <v>1124</v>
      </c>
      <c r="I253" s="3" t="s">
        <v>594</v>
      </c>
      <c r="J253" s="1" t="s">
        <v>732</v>
      </c>
      <c r="L253" s="58" t="s">
        <v>1161</v>
      </c>
      <c r="M253" s="4" t="s">
        <v>1151</v>
      </c>
      <c r="N253" s="58" t="s">
        <v>1123</v>
      </c>
      <c r="O253" s="5">
        <v>35</v>
      </c>
      <c r="P253" s="5">
        <v>600</v>
      </c>
      <c r="Q253" s="5">
        <v>21000</v>
      </c>
      <c r="R253" s="5" t="s">
        <v>1146</v>
      </c>
      <c r="S253" s="13" t="s">
        <v>733</v>
      </c>
    </row>
    <row r="254" spans="1:19" ht="16.899999999999999" x14ac:dyDescent="0.4">
      <c r="A254" s="62" t="s">
        <v>1147</v>
      </c>
      <c r="B254" s="2">
        <v>45422</v>
      </c>
      <c r="C254" s="1" t="s">
        <v>727</v>
      </c>
      <c r="D254" s="3" t="s">
        <v>728</v>
      </c>
      <c r="E254" s="2">
        <v>45468</v>
      </c>
      <c r="F254" s="3" t="s">
        <v>593</v>
      </c>
      <c r="G254" s="3" t="s">
        <v>356</v>
      </c>
      <c r="H254" s="32" t="s">
        <v>1124</v>
      </c>
      <c r="I254" s="3" t="s">
        <v>594</v>
      </c>
      <c r="J254" s="1" t="s">
        <v>734</v>
      </c>
      <c r="L254" s="58" t="s">
        <v>1161</v>
      </c>
      <c r="M254" s="4" t="s">
        <v>1151</v>
      </c>
      <c r="N254" s="58" t="s">
        <v>1123</v>
      </c>
      <c r="O254" s="5">
        <v>35</v>
      </c>
      <c r="P254" s="5">
        <v>1000</v>
      </c>
      <c r="Q254" s="5">
        <v>35000</v>
      </c>
      <c r="R254" s="5" t="s">
        <v>1146</v>
      </c>
      <c r="S254" s="14" t="s">
        <v>20</v>
      </c>
    </row>
    <row r="255" spans="1:19" ht="16.899999999999999" x14ac:dyDescent="0.4">
      <c r="A255" s="62" t="s">
        <v>1147</v>
      </c>
      <c r="B255" s="2">
        <v>45422</v>
      </c>
      <c r="C255" s="1" t="s">
        <v>727</v>
      </c>
      <c r="D255" s="3" t="s">
        <v>728</v>
      </c>
      <c r="E255" s="2">
        <v>45468</v>
      </c>
      <c r="F255" s="3" t="s">
        <v>593</v>
      </c>
      <c r="G255" s="3" t="s">
        <v>356</v>
      </c>
      <c r="H255" s="32" t="s">
        <v>1124</v>
      </c>
      <c r="I255" s="3" t="s">
        <v>735</v>
      </c>
      <c r="J255" s="1" t="s">
        <v>736</v>
      </c>
      <c r="L255" s="58" t="s">
        <v>1161</v>
      </c>
      <c r="M255" s="4" t="s">
        <v>1151</v>
      </c>
      <c r="N255" s="58" t="s">
        <v>1123</v>
      </c>
      <c r="O255" s="5">
        <v>0.35</v>
      </c>
      <c r="P255" s="5">
        <v>1000</v>
      </c>
      <c r="Q255" s="5">
        <v>350</v>
      </c>
      <c r="R255" s="5" t="s">
        <v>1146</v>
      </c>
      <c r="S255" s="13" t="s">
        <v>737</v>
      </c>
    </row>
    <row r="256" spans="1:19" ht="16.899999999999999" x14ac:dyDescent="0.4">
      <c r="A256" s="62" t="s">
        <v>1147</v>
      </c>
      <c r="B256" s="2">
        <v>45422</v>
      </c>
      <c r="C256" s="1" t="s">
        <v>727</v>
      </c>
      <c r="D256" s="3" t="s">
        <v>728</v>
      </c>
      <c r="E256" s="2">
        <v>45468</v>
      </c>
      <c r="F256" s="3" t="s">
        <v>593</v>
      </c>
      <c r="G256" s="3" t="s">
        <v>356</v>
      </c>
      <c r="H256" s="32" t="s">
        <v>1124</v>
      </c>
      <c r="I256" s="3" t="s">
        <v>738</v>
      </c>
      <c r="J256" s="1" t="s">
        <v>739</v>
      </c>
      <c r="L256" s="58" t="s">
        <v>1161</v>
      </c>
      <c r="M256" s="4" t="s">
        <v>1151</v>
      </c>
      <c r="N256" s="58" t="s">
        <v>1123</v>
      </c>
      <c r="O256" s="5">
        <v>520</v>
      </c>
      <c r="P256" s="5">
        <v>30</v>
      </c>
      <c r="Q256" s="5">
        <v>15600</v>
      </c>
      <c r="R256" s="5" t="s">
        <v>1146</v>
      </c>
      <c r="S256" s="14" t="s">
        <v>20</v>
      </c>
    </row>
    <row r="257" spans="1:19" ht="16.899999999999999" x14ac:dyDescent="0.4">
      <c r="A257" s="62" t="s">
        <v>1147</v>
      </c>
      <c r="B257" s="2">
        <v>45425</v>
      </c>
      <c r="C257" s="1" t="s">
        <v>29</v>
      </c>
      <c r="D257" s="3" t="s">
        <v>740</v>
      </c>
      <c r="E257" s="2">
        <v>45487</v>
      </c>
      <c r="F257" s="3" t="s">
        <v>471</v>
      </c>
      <c r="G257" s="3" t="s">
        <v>81</v>
      </c>
      <c r="H257" s="32" t="s">
        <v>1124</v>
      </c>
      <c r="I257" s="3" t="s">
        <v>472</v>
      </c>
      <c r="J257" s="1" t="s">
        <v>64</v>
      </c>
      <c r="K257" s="4" t="s">
        <v>63</v>
      </c>
      <c r="L257" s="58" t="s">
        <v>1161</v>
      </c>
      <c r="M257" s="4" t="s">
        <v>1157</v>
      </c>
      <c r="N257" s="58" t="s">
        <v>1123</v>
      </c>
      <c r="O257" s="5">
        <v>16</v>
      </c>
      <c r="P257" s="5">
        <v>100</v>
      </c>
      <c r="Q257" s="5">
        <v>1600</v>
      </c>
      <c r="R257" s="5" t="s">
        <v>1122</v>
      </c>
      <c r="S257" s="3" t="s">
        <v>741</v>
      </c>
    </row>
    <row r="258" spans="1:19" ht="16.899999999999999" x14ac:dyDescent="0.4">
      <c r="A258" s="62" t="s">
        <v>1147</v>
      </c>
      <c r="B258" s="2">
        <v>45428</v>
      </c>
      <c r="C258" s="1" t="s">
        <v>29</v>
      </c>
      <c r="D258" s="3" t="s">
        <v>742</v>
      </c>
      <c r="E258" s="2">
        <v>45487</v>
      </c>
      <c r="F258" s="3" t="s">
        <v>471</v>
      </c>
      <c r="G258" s="3" t="s">
        <v>81</v>
      </c>
      <c r="H258" s="32" t="s">
        <v>1124</v>
      </c>
      <c r="I258" s="8" t="s">
        <v>487</v>
      </c>
      <c r="J258" s="1" t="s">
        <v>562</v>
      </c>
      <c r="K258" s="4" t="s">
        <v>561</v>
      </c>
      <c r="L258" s="58" t="s">
        <v>1160</v>
      </c>
      <c r="M258" s="4" t="s">
        <v>1157</v>
      </c>
      <c r="N258" s="58" t="s">
        <v>1123</v>
      </c>
      <c r="O258" s="5">
        <v>12</v>
      </c>
      <c r="P258" s="5">
        <v>400</v>
      </c>
      <c r="Q258" s="5">
        <v>4800</v>
      </c>
      <c r="R258" s="5" t="s">
        <v>1122</v>
      </c>
      <c r="S258" s="3" t="s">
        <v>743</v>
      </c>
    </row>
    <row r="259" spans="1:19" ht="16.899999999999999" x14ac:dyDescent="0.4">
      <c r="A259" s="62" t="s">
        <v>1147</v>
      </c>
      <c r="B259" s="2">
        <v>45434</v>
      </c>
      <c r="C259" s="1" t="s">
        <v>29</v>
      </c>
      <c r="D259" s="3" t="s">
        <v>744</v>
      </c>
      <c r="E259" s="2">
        <v>45487</v>
      </c>
      <c r="F259" s="3" t="s">
        <v>471</v>
      </c>
      <c r="G259" s="3" t="s">
        <v>81</v>
      </c>
      <c r="H259" s="32" t="s">
        <v>1124</v>
      </c>
      <c r="I259" s="3" t="s">
        <v>745</v>
      </c>
      <c r="J259" s="1" t="s">
        <v>746</v>
      </c>
      <c r="K259" s="4">
        <v>200160</v>
      </c>
      <c r="L259" s="58" t="s">
        <v>1160</v>
      </c>
      <c r="M259" s="4" t="s">
        <v>1157</v>
      </c>
      <c r="N259" s="58" t="s">
        <v>1123</v>
      </c>
      <c r="O259" s="5">
        <v>19.5</v>
      </c>
      <c r="P259" s="5">
        <v>200</v>
      </c>
      <c r="Q259" s="5">
        <v>3900</v>
      </c>
      <c r="R259" s="5" t="s">
        <v>1122</v>
      </c>
      <c r="S259" s="3" t="s">
        <v>747</v>
      </c>
    </row>
    <row r="260" spans="1:19" ht="17.75" customHeight="1" x14ac:dyDescent="0.4">
      <c r="A260" s="62" t="s">
        <v>1147</v>
      </c>
      <c r="B260" s="2">
        <v>45443</v>
      </c>
      <c r="C260" s="1" t="s">
        <v>748</v>
      </c>
      <c r="D260" s="3" t="s">
        <v>749</v>
      </c>
      <c r="E260" s="2">
        <v>45449</v>
      </c>
      <c r="F260" s="3" t="s">
        <v>533</v>
      </c>
      <c r="G260" s="3" t="s">
        <v>356</v>
      </c>
      <c r="H260" s="32" t="s">
        <v>1124</v>
      </c>
      <c r="I260" s="3" t="s">
        <v>750</v>
      </c>
      <c r="J260" s="1" t="s">
        <v>751</v>
      </c>
      <c r="K260" s="4">
        <v>1443</v>
      </c>
      <c r="L260" s="58" t="s">
        <v>1161</v>
      </c>
      <c r="M260" s="4" t="s">
        <v>1158</v>
      </c>
      <c r="N260" s="58" t="s">
        <v>1123</v>
      </c>
      <c r="O260" s="5">
        <v>0</v>
      </c>
      <c r="P260" s="5">
        <v>25</v>
      </c>
      <c r="Q260" s="5">
        <v>0</v>
      </c>
      <c r="R260" s="5" t="s">
        <v>1145</v>
      </c>
      <c r="S260" s="3" t="s">
        <v>752</v>
      </c>
    </row>
    <row r="261" spans="1:19" ht="16.899999999999999" x14ac:dyDescent="0.4">
      <c r="A261" s="62" t="s">
        <v>1147</v>
      </c>
      <c r="B261" s="2">
        <v>45446</v>
      </c>
      <c r="C261" s="1" t="s">
        <v>501</v>
      </c>
      <c r="D261" s="3" t="s">
        <v>753</v>
      </c>
      <c r="E261" s="2">
        <v>45487</v>
      </c>
      <c r="F261" s="3" t="s">
        <v>503</v>
      </c>
      <c r="G261" s="3" t="s">
        <v>356</v>
      </c>
      <c r="H261" s="32" t="s">
        <v>1124</v>
      </c>
      <c r="I261" s="3" t="s">
        <v>504</v>
      </c>
      <c r="J261" s="1" t="s">
        <v>677</v>
      </c>
      <c r="K261" s="4" t="s">
        <v>676</v>
      </c>
      <c r="L261" s="58" t="s">
        <v>1161</v>
      </c>
      <c r="M261" s="4" t="s">
        <v>1151</v>
      </c>
      <c r="N261" s="58" t="s">
        <v>1123</v>
      </c>
      <c r="O261" s="5">
        <v>84.75</v>
      </c>
      <c r="P261" s="5">
        <v>1100</v>
      </c>
      <c r="Q261" s="5">
        <v>93225</v>
      </c>
      <c r="R261" s="5" t="s">
        <v>1146</v>
      </c>
      <c r="S261" s="3" t="s">
        <v>754</v>
      </c>
    </row>
    <row r="262" spans="1:19" ht="16.899999999999999" x14ac:dyDescent="0.4">
      <c r="A262" s="62" t="s">
        <v>1147</v>
      </c>
      <c r="B262" s="2">
        <v>45446</v>
      </c>
      <c r="C262" s="1" t="s">
        <v>0</v>
      </c>
      <c r="D262" s="3" t="s">
        <v>755</v>
      </c>
      <c r="E262" s="2">
        <v>45482</v>
      </c>
      <c r="F262" s="3" t="s">
        <v>471</v>
      </c>
      <c r="G262" s="3" t="s">
        <v>356</v>
      </c>
      <c r="H262" s="32" t="s">
        <v>1124</v>
      </c>
      <c r="I262" s="3" t="s">
        <v>62</v>
      </c>
      <c r="J262" s="1" t="s">
        <v>756</v>
      </c>
      <c r="K262" s="4" t="s">
        <v>755</v>
      </c>
      <c r="L262" s="58" t="s">
        <v>1161</v>
      </c>
      <c r="M262" s="4" t="s">
        <v>1158</v>
      </c>
      <c r="N262" s="58" t="s">
        <v>1123</v>
      </c>
      <c r="O262" s="5">
        <v>15</v>
      </c>
      <c r="P262" s="5">
        <v>300</v>
      </c>
      <c r="Q262" s="5">
        <v>4500</v>
      </c>
      <c r="R262" s="5" t="s">
        <v>1145</v>
      </c>
      <c r="S262" s="3" t="s">
        <v>757</v>
      </c>
    </row>
    <row r="263" spans="1:19" ht="16.899999999999999" x14ac:dyDescent="0.4">
      <c r="A263" s="62" t="s">
        <v>1147</v>
      </c>
      <c r="B263" s="2">
        <v>45448</v>
      </c>
      <c r="C263" s="1" t="s">
        <v>758</v>
      </c>
      <c r="D263" s="3" t="s">
        <v>759</v>
      </c>
      <c r="E263" s="2">
        <v>45471</v>
      </c>
      <c r="F263" s="3" t="s">
        <v>525</v>
      </c>
      <c r="G263" s="3" t="s">
        <v>1134</v>
      </c>
      <c r="H263" s="32" t="s">
        <v>1124</v>
      </c>
      <c r="I263" s="3" t="s">
        <v>487</v>
      </c>
      <c r="J263" s="1" t="s">
        <v>673</v>
      </c>
      <c r="K263" s="4" t="s">
        <v>409</v>
      </c>
      <c r="L263" s="58" t="s">
        <v>1160</v>
      </c>
      <c r="M263" s="4" t="s">
        <v>1156</v>
      </c>
      <c r="N263" s="58" t="s">
        <v>1123</v>
      </c>
      <c r="O263" s="5">
        <v>16.649999999999999</v>
      </c>
      <c r="P263" s="5">
        <v>3600</v>
      </c>
      <c r="Q263" s="5">
        <v>59940</v>
      </c>
      <c r="R263" s="5" t="s">
        <v>1145</v>
      </c>
      <c r="S263" s="3" t="s">
        <v>760</v>
      </c>
    </row>
    <row r="264" spans="1:19" ht="16.899999999999999" x14ac:dyDescent="0.4">
      <c r="A264" s="62" t="s">
        <v>1147</v>
      </c>
      <c r="B264" s="2">
        <v>45455</v>
      </c>
      <c r="C264" s="1" t="s">
        <v>108</v>
      </c>
      <c r="D264" s="3" t="s">
        <v>775</v>
      </c>
      <c r="E264" s="2">
        <v>45499</v>
      </c>
      <c r="F264" s="3" t="s">
        <v>525</v>
      </c>
      <c r="G264" s="3" t="s">
        <v>356</v>
      </c>
      <c r="H264" s="32" t="s">
        <v>1124</v>
      </c>
      <c r="I264" s="3" t="s">
        <v>724</v>
      </c>
      <c r="J264" s="1" t="s">
        <v>777</v>
      </c>
      <c r="K264" s="4" t="s">
        <v>776</v>
      </c>
      <c r="L264" s="58" t="s">
        <v>1161</v>
      </c>
      <c r="M264" s="4" t="s">
        <v>1151</v>
      </c>
      <c r="N264" s="58" t="s">
        <v>1123</v>
      </c>
      <c r="O264" s="5">
        <v>19</v>
      </c>
      <c r="P264" s="5">
        <v>500</v>
      </c>
      <c r="Q264" s="5">
        <v>9500</v>
      </c>
      <c r="R264" s="5" t="s">
        <v>1145</v>
      </c>
      <c r="S264" s="3" t="s">
        <v>778</v>
      </c>
    </row>
    <row r="265" spans="1:19" ht="16.899999999999999" x14ac:dyDescent="0.4">
      <c r="A265" s="62" t="s">
        <v>1147</v>
      </c>
      <c r="B265" s="2">
        <v>45455</v>
      </c>
      <c r="C265" s="1" t="s">
        <v>634</v>
      </c>
      <c r="D265" s="3" t="s">
        <v>761</v>
      </c>
      <c r="E265" s="2">
        <v>45497</v>
      </c>
      <c r="F265" s="3" t="s">
        <v>471</v>
      </c>
      <c r="G265" s="3" t="s">
        <v>356</v>
      </c>
      <c r="H265" s="32" t="s">
        <v>1124</v>
      </c>
      <c r="I265" s="3" t="s">
        <v>475</v>
      </c>
      <c r="J265" s="1" t="s">
        <v>698</v>
      </c>
      <c r="K265" s="4" t="s">
        <v>762</v>
      </c>
      <c r="L265" s="58" t="s">
        <v>1161</v>
      </c>
      <c r="M265" s="4" t="s">
        <v>1151</v>
      </c>
      <c r="N265" s="58" t="s">
        <v>1123</v>
      </c>
      <c r="O265" s="5">
        <v>11.8</v>
      </c>
      <c r="P265" s="5">
        <v>500</v>
      </c>
      <c r="Q265" s="5">
        <v>5900</v>
      </c>
      <c r="R265" s="5" t="s">
        <v>1145</v>
      </c>
      <c r="S265" s="3" t="s">
        <v>763</v>
      </c>
    </row>
    <row r="266" spans="1:19" ht="16.899999999999999" x14ac:dyDescent="0.4">
      <c r="A266" s="62" t="s">
        <v>1147</v>
      </c>
      <c r="B266" s="2">
        <v>45455</v>
      </c>
      <c r="C266" s="1" t="s">
        <v>634</v>
      </c>
      <c r="D266" s="3" t="s">
        <v>764</v>
      </c>
      <c r="E266" s="2">
        <v>45497</v>
      </c>
      <c r="F266" s="3" t="s">
        <v>471</v>
      </c>
      <c r="G266" s="3" t="s">
        <v>356</v>
      </c>
      <c r="H266" s="32" t="s">
        <v>1124</v>
      </c>
      <c r="I266" s="3" t="s">
        <v>475</v>
      </c>
      <c r="J266" s="1" t="s">
        <v>766</v>
      </c>
      <c r="K266" s="4" t="s">
        <v>765</v>
      </c>
      <c r="L266" s="58" t="s">
        <v>1161</v>
      </c>
      <c r="M266" s="4" t="s">
        <v>1151</v>
      </c>
      <c r="N266" s="58" t="s">
        <v>1123</v>
      </c>
      <c r="O266" s="5">
        <v>11.8</v>
      </c>
      <c r="P266" s="5">
        <v>200</v>
      </c>
      <c r="Q266" s="5">
        <v>2360</v>
      </c>
      <c r="R266" s="5" t="s">
        <v>1145</v>
      </c>
      <c r="S266" s="3" t="s">
        <v>767</v>
      </c>
    </row>
    <row r="267" spans="1:19" ht="16.899999999999999" x14ac:dyDescent="0.4">
      <c r="A267" s="62" t="s">
        <v>1147</v>
      </c>
      <c r="B267" s="2">
        <v>45455</v>
      </c>
      <c r="C267" s="1" t="s">
        <v>634</v>
      </c>
      <c r="D267" s="3" t="s">
        <v>768</v>
      </c>
      <c r="E267" s="2">
        <v>45497</v>
      </c>
      <c r="F267" s="3" t="s">
        <v>471</v>
      </c>
      <c r="G267" s="3" t="s">
        <v>356</v>
      </c>
      <c r="H267" s="32" t="s">
        <v>1124</v>
      </c>
      <c r="I267" s="3" t="s">
        <v>504</v>
      </c>
      <c r="J267" s="1" t="s">
        <v>673</v>
      </c>
      <c r="K267" s="4" t="s">
        <v>769</v>
      </c>
      <c r="L267" s="58" t="s">
        <v>1161</v>
      </c>
      <c r="M267" s="4" t="s">
        <v>1151</v>
      </c>
      <c r="N267" s="58" t="s">
        <v>1123</v>
      </c>
      <c r="O267" s="5">
        <v>11.8</v>
      </c>
      <c r="P267" s="5">
        <v>200</v>
      </c>
      <c r="Q267" s="5">
        <v>2360</v>
      </c>
      <c r="R267" s="5" t="s">
        <v>1145</v>
      </c>
      <c r="S267" s="3" t="s">
        <v>770</v>
      </c>
    </row>
    <row r="268" spans="1:19" ht="16.899999999999999" x14ac:dyDescent="0.4">
      <c r="A268" s="62" t="s">
        <v>1147</v>
      </c>
      <c r="B268" s="2">
        <v>45455</v>
      </c>
      <c r="C268" s="1" t="s">
        <v>634</v>
      </c>
      <c r="D268" s="3" t="s">
        <v>771</v>
      </c>
      <c r="E268" s="2">
        <v>45497</v>
      </c>
      <c r="F268" s="3" t="s">
        <v>471</v>
      </c>
      <c r="G268" s="3" t="s">
        <v>356</v>
      </c>
      <c r="H268" s="32" t="s">
        <v>1124</v>
      </c>
      <c r="I268" s="3" t="s">
        <v>475</v>
      </c>
      <c r="J268" s="1" t="s">
        <v>773</v>
      </c>
      <c r="K268" s="4" t="s">
        <v>772</v>
      </c>
      <c r="L268" s="58" t="s">
        <v>1161</v>
      </c>
      <c r="M268" s="4" t="s">
        <v>1151</v>
      </c>
      <c r="N268" s="58" t="s">
        <v>1123</v>
      </c>
      <c r="O268" s="5">
        <v>11.8</v>
      </c>
      <c r="P268" s="5">
        <v>200</v>
      </c>
      <c r="Q268" s="5">
        <v>2360</v>
      </c>
      <c r="R268" s="5" t="s">
        <v>1145</v>
      </c>
      <c r="S268" s="3" t="s">
        <v>774</v>
      </c>
    </row>
    <row r="269" spans="1:19" ht="16.899999999999999" x14ac:dyDescent="0.4">
      <c r="A269" s="62" t="s">
        <v>1147</v>
      </c>
      <c r="B269" s="22">
        <v>45464</v>
      </c>
      <c r="C269" s="21" t="s">
        <v>469</v>
      </c>
      <c r="D269" s="23" t="s">
        <v>784</v>
      </c>
      <c r="E269" s="22">
        <v>45537</v>
      </c>
      <c r="F269" s="23" t="s">
        <v>1128</v>
      </c>
      <c r="G269" s="3" t="s">
        <v>356</v>
      </c>
      <c r="H269" s="32" t="s">
        <v>1124</v>
      </c>
      <c r="I269" s="23" t="s">
        <v>472</v>
      </c>
      <c r="J269" s="25" t="s">
        <v>786</v>
      </c>
      <c r="K269" s="24" t="s">
        <v>785</v>
      </c>
      <c r="L269" s="58" t="s">
        <v>1161</v>
      </c>
      <c r="M269" s="4" t="s">
        <v>1153</v>
      </c>
      <c r="N269" s="58" t="s">
        <v>1123</v>
      </c>
      <c r="O269" s="5">
        <v>0</v>
      </c>
      <c r="P269" s="5">
        <v>500</v>
      </c>
      <c r="Q269" s="26">
        <v>0</v>
      </c>
      <c r="R269" s="5" t="s">
        <v>1122</v>
      </c>
      <c r="S269" s="23" t="s">
        <v>1129</v>
      </c>
    </row>
    <row r="270" spans="1:19" ht="16.899999999999999" x14ac:dyDescent="0.4">
      <c r="A270" s="62" t="s">
        <v>1147</v>
      </c>
      <c r="B270" s="2">
        <v>45468</v>
      </c>
      <c r="C270" s="21" t="s">
        <v>469</v>
      </c>
      <c r="D270" s="3" t="s">
        <v>787</v>
      </c>
      <c r="E270" s="2">
        <v>45484</v>
      </c>
      <c r="F270" s="3" t="s">
        <v>788</v>
      </c>
      <c r="G270" s="3" t="s">
        <v>356</v>
      </c>
      <c r="H270" s="32" t="s">
        <v>1130</v>
      </c>
      <c r="I270" s="3" t="s">
        <v>472</v>
      </c>
      <c r="J270" s="1" t="s">
        <v>786</v>
      </c>
      <c r="K270" s="4" t="s">
        <v>785</v>
      </c>
      <c r="L270" s="58" t="s">
        <v>1161</v>
      </c>
      <c r="M270" s="4" t="s">
        <v>1153</v>
      </c>
      <c r="N270" s="58" t="s">
        <v>1123</v>
      </c>
      <c r="O270" s="5">
        <v>0</v>
      </c>
      <c r="P270" s="5">
        <v>10</v>
      </c>
      <c r="Q270" s="5">
        <v>0</v>
      </c>
      <c r="R270" s="5" t="s">
        <v>1122</v>
      </c>
      <c r="S270" s="3" t="s">
        <v>789</v>
      </c>
    </row>
    <row r="271" spans="1:19" ht="16.899999999999999" x14ac:dyDescent="0.4">
      <c r="A271" s="62" t="s">
        <v>1147</v>
      </c>
      <c r="B271" s="16">
        <v>45469</v>
      </c>
      <c r="C271" s="15" t="s">
        <v>0</v>
      </c>
      <c r="D271" s="17" t="s">
        <v>779</v>
      </c>
      <c r="E271" s="16">
        <v>45517</v>
      </c>
      <c r="F271" s="17" t="s">
        <v>1140</v>
      </c>
      <c r="G271" s="3" t="s">
        <v>356</v>
      </c>
      <c r="H271" s="32" t="s">
        <v>1124</v>
      </c>
      <c r="I271" s="18" t="s">
        <v>780</v>
      </c>
      <c r="J271" s="15" t="s">
        <v>782</v>
      </c>
      <c r="K271" s="19" t="s">
        <v>781</v>
      </c>
      <c r="L271" s="58" t="s">
        <v>1161</v>
      </c>
      <c r="M271" s="4" t="s">
        <v>1158</v>
      </c>
      <c r="N271" s="58" t="s">
        <v>1123</v>
      </c>
      <c r="O271" s="5">
        <v>16.399999999999999</v>
      </c>
      <c r="P271" s="5">
        <v>3400</v>
      </c>
      <c r="Q271" s="20">
        <v>55760</v>
      </c>
      <c r="R271" s="5" t="s">
        <v>1145</v>
      </c>
      <c r="S271" s="17" t="s">
        <v>783</v>
      </c>
    </row>
    <row r="272" spans="1:19" ht="16.899999999999999" x14ac:dyDescent="0.4">
      <c r="A272" s="62" t="s">
        <v>1147</v>
      </c>
      <c r="B272" s="22">
        <v>45470</v>
      </c>
      <c r="C272" s="21" t="s">
        <v>469</v>
      </c>
      <c r="D272" s="23" t="s">
        <v>790</v>
      </c>
      <c r="E272" s="22">
        <v>45537</v>
      </c>
      <c r="F272" s="23" t="s">
        <v>471</v>
      </c>
      <c r="G272" s="3" t="s">
        <v>356</v>
      </c>
      <c r="H272" s="32" t="s">
        <v>1124</v>
      </c>
      <c r="I272" s="23" t="s">
        <v>472</v>
      </c>
      <c r="J272" s="25" t="s">
        <v>786</v>
      </c>
      <c r="K272" s="24" t="s">
        <v>785</v>
      </c>
      <c r="L272" s="58" t="s">
        <v>1161</v>
      </c>
      <c r="M272" s="4" t="s">
        <v>1153</v>
      </c>
      <c r="N272" s="58" t="s">
        <v>1123</v>
      </c>
      <c r="O272" s="5">
        <v>16.2</v>
      </c>
      <c r="P272" s="5">
        <v>200</v>
      </c>
      <c r="Q272" s="26">
        <v>3240</v>
      </c>
      <c r="R272" s="5" t="s">
        <v>1122</v>
      </c>
      <c r="S272" s="27" t="s">
        <v>791</v>
      </c>
    </row>
    <row r="273" spans="1:19" ht="16.899999999999999" x14ac:dyDescent="0.4">
      <c r="A273" s="62" t="s">
        <v>1147</v>
      </c>
      <c r="B273" s="2">
        <v>45475</v>
      </c>
      <c r="C273" s="21" t="s">
        <v>29</v>
      </c>
      <c r="D273" s="3" t="s">
        <v>792</v>
      </c>
      <c r="E273" s="29">
        <v>45576</v>
      </c>
      <c r="F273" s="3" t="s">
        <v>471</v>
      </c>
      <c r="G273" s="3" t="s">
        <v>81</v>
      </c>
      <c r="H273" s="32" t="s">
        <v>1124</v>
      </c>
      <c r="I273" s="8" t="s">
        <v>793</v>
      </c>
      <c r="J273" s="1" t="s">
        <v>673</v>
      </c>
      <c r="K273" s="4" t="s">
        <v>499</v>
      </c>
      <c r="L273" s="58" t="s">
        <v>1160</v>
      </c>
      <c r="M273" s="4" t="s">
        <v>1157</v>
      </c>
      <c r="N273" s="58" t="s">
        <v>1123</v>
      </c>
      <c r="O273" s="5">
        <v>15</v>
      </c>
      <c r="P273" s="5">
        <v>200</v>
      </c>
      <c r="Q273" s="28">
        <v>3000</v>
      </c>
      <c r="R273" s="5" t="s">
        <v>1122</v>
      </c>
      <c r="S273" s="11" t="s">
        <v>794</v>
      </c>
    </row>
    <row r="274" spans="1:19" ht="16.899999999999999" x14ac:dyDescent="0.4">
      <c r="A274" s="62" t="s">
        <v>1147</v>
      </c>
      <c r="B274" s="2">
        <v>45476</v>
      </c>
      <c r="C274" s="21" t="s">
        <v>0</v>
      </c>
      <c r="D274" s="3" t="s">
        <v>795</v>
      </c>
      <c r="E274" s="2">
        <v>45488</v>
      </c>
      <c r="F274" s="3" t="s">
        <v>471</v>
      </c>
      <c r="G274" s="3" t="s">
        <v>356</v>
      </c>
      <c r="H274" s="32" t="s">
        <v>1135</v>
      </c>
      <c r="I274" s="3" t="s">
        <v>408</v>
      </c>
      <c r="J274" s="1" t="s">
        <v>797</v>
      </c>
      <c r="K274" s="4" t="s">
        <v>796</v>
      </c>
      <c r="L274" s="58" t="s">
        <v>1161</v>
      </c>
      <c r="M274" s="4" t="s">
        <v>1158</v>
      </c>
      <c r="N274" s="58" t="s">
        <v>1123</v>
      </c>
      <c r="O274" s="5">
        <v>11.5</v>
      </c>
      <c r="P274" s="5">
        <v>100</v>
      </c>
      <c r="Q274" s="5">
        <v>1150</v>
      </c>
      <c r="R274" s="5" t="s">
        <v>1145</v>
      </c>
      <c r="S274" s="3" t="s">
        <v>798</v>
      </c>
    </row>
    <row r="275" spans="1:19" ht="16.899999999999999" x14ac:dyDescent="0.4">
      <c r="A275" s="62" t="s">
        <v>1147</v>
      </c>
      <c r="B275" s="2">
        <v>45495</v>
      </c>
      <c r="C275" s="21" t="s">
        <v>722</v>
      </c>
      <c r="D275" s="3" t="s">
        <v>799</v>
      </c>
      <c r="E275" s="2">
        <v>45533</v>
      </c>
      <c r="F275" s="3" t="s">
        <v>503</v>
      </c>
      <c r="G275" s="3" t="s">
        <v>356</v>
      </c>
      <c r="H275" s="32" t="s">
        <v>1124</v>
      </c>
      <c r="I275" s="3" t="s">
        <v>724</v>
      </c>
      <c r="J275" s="1" t="s">
        <v>698</v>
      </c>
      <c r="K275" s="4" t="s">
        <v>725</v>
      </c>
      <c r="L275" s="58" t="s">
        <v>1161</v>
      </c>
      <c r="M275" s="4" t="s">
        <v>1151</v>
      </c>
      <c r="N275" s="58" t="s">
        <v>1123</v>
      </c>
      <c r="O275" s="5">
        <v>107</v>
      </c>
      <c r="P275" s="5">
        <v>1800</v>
      </c>
      <c r="Q275" s="5">
        <v>192600</v>
      </c>
      <c r="R275" s="5" t="s">
        <v>1146</v>
      </c>
      <c r="S275" s="3" t="s">
        <v>800</v>
      </c>
    </row>
    <row r="276" spans="1:19" ht="16.899999999999999" x14ac:dyDescent="0.4">
      <c r="A276" s="62" t="s">
        <v>1147</v>
      </c>
      <c r="B276" s="2">
        <v>45497</v>
      </c>
      <c r="C276" s="21" t="s">
        <v>0</v>
      </c>
      <c r="D276" s="3" t="s">
        <v>801</v>
      </c>
      <c r="E276" s="2">
        <v>45552</v>
      </c>
      <c r="F276" s="3" t="s">
        <v>1140</v>
      </c>
      <c r="G276" s="3" t="s">
        <v>356</v>
      </c>
      <c r="H276" s="32" t="s">
        <v>1124</v>
      </c>
      <c r="I276" s="3" t="s">
        <v>472</v>
      </c>
      <c r="J276" s="1" t="s">
        <v>802</v>
      </c>
      <c r="K276" s="4">
        <v>20220919</v>
      </c>
      <c r="L276" s="58" t="s">
        <v>1161</v>
      </c>
      <c r="M276" s="4" t="s">
        <v>1158</v>
      </c>
      <c r="N276" s="58" t="s">
        <v>1123</v>
      </c>
      <c r="O276" s="5">
        <v>27.9</v>
      </c>
      <c r="P276" s="5">
        <v>750</v>
      </c>
      <c r="Q276" s="5">
        <v>20925</v>
      </c>
      <c r="R276" s="5" t="s">
        <v>1145</v>
      </c>
      <c r="S276" s="3" t="s">
        <v>803</v>
      </c>
    </row>
    <row r="277" spans="1:19" ht="16.899999999999999" x14ac:dyDescent="0.4">
      <c r="A277" s="62" t="s">
        <v>1147</v>
      </c>
      <c r="B277" s="2">
        <v>45497</v>
      </c>
      <c r="C277" s="21" t="s">
        <v>0</v>
      </c>
      <c r="D277" s="9" t="s">
        <v>804</v>
      </c>
      <c r="E277" s="2">
        <v>45504</v>
      </c>
      <c r="F277" s="3" t="s">
        <v>471</v>
      </c>
      <c r="G277" s="3" t="s">
        <v>356</v>
      </c>
      <c r="H277" s="32" t="s">
        <v>1135</v>
      </c>
      <c r="I277" s="3" t="s">
        <v>504</v>
      </c>
      <c r="J277" s="1" t="s">
        <v>673</v>
      </c>
      <c r="K277" s="4" t="s">
        <v>805</v>
      </c>
      <c r="L277" s="58" t="s">
        <v>1161</v>
      </c>
      <c r="M277" s="4" t="s">
        <v>1158</v>
      </c>
      <c r="N277" s="58" t="s">
        <v>1123</v>
      </c>
      <c r="O277" s="5">
        <v>11.5</v>
      </c>
      <c r="P277" s="5">
        <v>100</v>
      </c>
      <c r="Q277" s="5">
        <v>1150</v>
      </c>
      <c r="R277" s="5" t="s">
        <v>1145</v>
      </c>
      <c r="S277" s="3" t="s">
        <v>806</v>
      </c>
    </row>
    <row r="278" spans="1:19" ht="16.899999999999999" x14ac:dyDescent="0.4">
      <c r="A278" s="62" t="s">
        <v>1147</v>
      </c>
      <c r="B278" s="2">
        <v>45499</v>
      </c>
      <c r="C278" s="21" t="s">
        <v>29</v>
      </c>
      <c r="D278" s="3" t="s">
        <v>807</v>
      </c>
      <c r="E278" s="29">
        <v>45576</v>
      </c>
      <c r="F278" s="3" t="s">
        <v>471</v>
      </c>
      <c r="G278" s="3" t="s">
        <v>81</v>
      </c>
      <c r="H278" s="32" t="s">
        <v>1124</v>
      </c>
      <c r="I278" s="3" t="s">
        <v>668</v>
      </c>
      <c r="J278" s="1" t="s">
        <v>670</v>
      </c>
      <c r="K278" s="4" t="s">
        <v>808</v>
      </c>
      <c r="L278" s="58" t="s">
        <v>1160</v>
      </c>
      <c r="M278" s="4" t="s">
        <v>1157</v>
      </c>
      <c r="N278" s="58" t="s">
        <v>1123</v>
      </c>
      <c r="O278" s="5">
        <v>19.5</v>
      </c>
      <c r="P278" s="5">
        <v>400</v>
      </c>
      <c r="Q278" s="28">
        <v>7800</v>
      </c>
      <c r="R278" s="5" t="s">
        <v>1122</v>
      </c>
      <c r="S278" s="11" t="s">
        <v>809</v>
      </c>
    </row>
    <row r="279" spans="1:19" ht="16.899999999999999" x14ac:dyDescent="0.4">
      <c r="A279" s="62" t="s">
        <v>1147</v>
      </c>
      <c r="B279" s="2">
        <v>45509</v>
      </c>
      <c r="C279" s="21" t="s">
        <v>810</v>
      </c>
      <c r="D279" s="3" t="s">
        <v>811</v>
      </c>
      <c r="E279" s="2">
        <v>45518</v>
      </c>
      <c r="F279" s="3" t="s">
        <v>593</v>
      </c>
      <c r="G279" s="3" t="s">
        <v>356</v>
      </c>
      <c r="H279" s="32" t="s">
        <v>1124</v>
      </c>
      <c r="I279" s="3" t="s">
        <v>812</v>
      </c>
      <c r="J279" s="1" t="s">
        <v>813</v>
      </c>
      <c r="L279" s="58" t="s">
        <v>1160</v>
      </c>
      <c r="M279" s="58" t="s">
        <v>1150</v>
      </c>
      <c r="N279" s="58" t="s">
        <v>1123</v>
      </c>
      <c r="O279" s="5">
        <v>0.11</v>
      </c>
      <c r="P279" s="5">
        <v>5500</v>
      </c>
      <c r="Q279" s="5">
        <v>605</v>
      </c>
      <c r="R279" s="5" t="s">
        <v>1145</v>
      </c>
      <c r="S279" s="61" t="s">
        <v>20</v>
      </c>
    </row>
    <row r="280" spans="1:19" ht="16.899999999999999" x14ac:dyDescent="0.4">
      <c r="A280" s="62" t="s">
        <v>1147</v>
      </c>
      <c r="B280" s="2">
        <v>45513</v>
      </c>
      <c r="C280" s="21" t="s">
        <v>531</v>
      </c>
      <c r="D280" s="3" t="s">
        <v>814</v>
      </c>
      <c r="E280" s="29">
        <v>45517</v>
      </c>
      <c r="F280" s="3" t="s">
        <v>471</v>
      </c>
      <c r="G280" s="3" t="s">
        <v>81</v>
      </c>
      <c r="H280" s="32" t="s">
        <v>1135</v>
      </c>
      <c r="I280" s="3" t="s">
        <v>750</v>
      </c>
      <c r="J280" s="1" t="s">
        <v>41</v>
      </c>
      <c r="K280" s="4" t="s">
        <v>337</v>
      </c>
      <c r="L280" s="58" t="s">
        <v>1161</v>
      </c>
      <c r="M280" s="4" t="s">
        <v>1157</v>
      </c>
      <c r="N280" s="58" t="s">
        <v>1123</v>
      </c>
      <c r="O280" s="5">
        <v>16</v>
      </c>
      <c r="P280" s="5">
        <v>10</v>
      </c>
      <c r="Q280" s="28">
        <v>160</v>
      </c>
      <c r="R280" s="5" t="s">
        <v>1122</v>
      </c>
      <c r="S280" s="11" t="s">
        <v>815</v>
      </c>
    </row>
    <row r="281" spans="1:19" ht="16.899999999999999" x14ac:dyDescent="0.4">
      <c r="A281" s="62" t="s">
        <v>1147</v>
      </c>
      <c r="B281" s="2">
        <v>45519</v>
      </c>
      <c r="C281" s="21" t="s">
        <v>821</v>
      </c>
      <c r="D281" s="3" t="s">
        <v>822</v>
      </c>
      <c r="E281" s="2">
        <v>45540</v>
      </c>
      <c r="F281" s="3" t="s">
        <v>503</v>
      </c>
      <c r="G281" s="3" t="s">
        <v>356</v>
      </c>
      <c r="H281" s="32" t="s">
        <v>1124</v>
      </c>
      <c r="I281" s="3" t="s">
        <v>504</v>
      </c>
      <c r="J281" s="1" t="s">
        <v>823</v>
      </c>
      <c r="K281" s="4" t="s">
        <v>466</v>
      </c>
      <c r="L281" s="58" t="s">
        <v>1161</v>
      </c>
      <c r="M281" s="4" t="s">
        <v>1151</v>
      </c>
      <c r="N281" s="58" t="s">
        <v>1123</v>
      </c>
      <c r="O281" s="5">
        <v>85</v>
      </c>
      <c r="P281" s="5">
        <v>1000</v>
      </c>
      <c r="Q281" s="5">
        <v>85000</v>
      </c>
      <c r="R281" s="5" t="s">
        <v>1146</v>
      </c>
      <c r="S281" s="3" t="s">
        <v>824</v>
      </c>
    </row>
    <row r="282" spans="1:19" ht="16.899999999999999" x14ac:dyDescent="0.4">
      <c r="A282" s="62" t="s">
        <v>1147</v>
      </c>
      <c r="B282" s="2">
        <v>45523</v>
      </c>
      <c r="C282" s="21" t="s">
        <v>816</v>
      </c>
      <c r="D282" s="3" t="s">
        <v>817</v>
      </c>
      <c r="E282" s="2">
        <v>45541</v>
      </c>
      <c r="F282" s="3" t="s">
        <v>471</v>
      </c>
      <c r="G282" s="3" t="s">
        <v>1119</v>
      </c>
      <c r="H282" s="32" t="s">
        <v>1124</v>
      </c>
      <c r="I282" s="8" t="s">
        <v>818</v>
      </c>
      <c r="J282" s="1" t="s">
        <v>673</v>
      </c>
      <c r="K282" s="4" t="s">
        <v>819</v>
      </c>
      <c r="L282" s="58" t="s">
        <v>1161</v>
      </c>
      <c r="M282" s="4" t="s">
        <v>1151</v>
      </c>
      <c r="N282" s="58" t="s">
        <v>1123</v>
      </c>
      <c r="O282" s="5">
        <v>10</v>
      </c>
      <c r="P282" s="5">
        <v>40</v>
      </c>
      <c r="Q282" s="5">
        <v>400</v>
      </c>
      <c r="R282" s="5" t="s">
        <v>1146</v>
      </c>
      <c r="S282" s="3" t="s">
        <v>820</v>
      </c>
    </row>
    <row r="283" spans="1:19" ht="16.899999999999999" x14ac:dyDescent="0.4">
      <c r="A283" s="62" t="s">
        <v>1147</v>
      </c>
      <c r="B283" s="2">
        <v>45527</v>
      </c>
      <c r="C283" s="21" t="s">
        <v>810</v>
      </c>
      <c r="D283" s="3" t="s">
        <v>825</v>
      </c>
      <c r="E283" s="2">
        <v>45577</v>
      </c>
      <c r="F283" s="3" t="s">
        <v>533</v>
      </c>
      <c r="G283" s="3" t="s">
        <v>356</v>
      </c>
      <c r="H283" s="32" t="s">
        <v>1124</v>
      </c>
      <c r="I283" s="8" t="s">
        <v>826</v>
      </c>
      <c r="J283" s="1" t="s">
        <v>828</v>
      </c>
      <c r="K283" s="4" t="s">
        <v>827</v>
      </c>
      <c r="L283" s="58" t="s">
        <v>1161</v>
      </c>
      <c r="M283" s="4" t="s">
        <v>1151</v>
      </c>
      <c r="N283" s="58" t="s">
        <v>1123</v>
      </c>
      <c r="O283" s="5">
        <v>0</v>
      </c>
      <c r="P283" s="5">
        <v>100</v>
      </c>
      <c r="Q283" s="5">
        <v>0</v>
      </c>
      <c r="R283" s="5" t="s">
        <v>1145</v>
      </c>
      <c r="S283" s="59" t="s">
        <v>829</v>
      </c>
    </row>
    <row r="284" spans="1:19" ht="16.899999999999999" x14ac:dyDescent="0.4">
      <c r="A284" s="62" t="s">
        <v>1147</v>
      </c>
      <c r="B284" s="2">
        <v>45532</v>
      </c>
      <c r="C284" s="21" t="s">
        <v>830</v>
      </c>
      <c r="D284" s="3" t="s">
        <v>831</v>
      </c>
      <c r="E284" s="2">
        <v>45544</v>
      </c>
      <c r="F284" s="3" t="s">
        <v>525</v>
      </c>
      <c r="G284" s="3" t="s">
        <v>1134</v>
      </c>
      <c r="H284" s="32" t="s">
        <v>1124</v>
      </c>
      <c r="I284" s="3" t="s">
        <v>832</v>
      </c>
      <c r="J284" s="1" t="s">
        <v>834</v>
      </c>
      <c r="K284" s="4" t="s">
        <v>833</v>
      </c>
      <c r="L284" s="58" t="s">
        <v>1161</v>
      </c>
      <c r="M284" s="4" t="s">
        <v>1156</v>
      </c>
      <c r="N284" s="58" t="s">
        <v>1123</v>
      </c>
      <c r="O284" s="5">
        <v>0</v>
      </c>
      <c r="P284" s="5">
        <v>25</v>
      </c>
      <c r="Q284" s="5">
        <v>0</v>
      </c>
      <c r="R284" s="5" t="s">
        <v>1145</v>
      </c>
      <c r="S284" s="3" t="s">
        <v>835</v>
      </c>
    </row>
    <row r="285" spans="1:19" ht="16.899999999999999" x14ac:dyDescent="0.4">
      <c r="A285" s="62" t="s">
        <v>1147</v>
      </c>
      <c r="B285" s="2">
        <v>45537</v>
      </c>
      <c r="C285" s="21" t="s">
        <v>469</v>
      </c>
      <c r="D285" s="3" t="s">
        <v>836</v>
      </c>
      <c r="E285" s="2">
        <v>45551</v>
      </c>
      <c r="F285" s="3" t="s">
        <v>471</v>
      </c>
      <c r="G285" s="3" t="s">
        <v>356</v>
      </c>
      <c r="H285" s="32" t="s">
        <v>1124</v>
      </c>
      <c r="I285" s="3" t="s">
        <v>487</v>
      </c>
      <c r="J285" s="1" t="s">
        <v>467</v>
      </c>
      <c r="K285" s="4" t="s">
        <v>466</v>
      </c>
      <c r="L285" s="58" t="s">
        <v>1160</v>
      </c>
      <c r="M285" s="4" t="s">
        <v>1153</v>
      </c>
      <c r="N285" s="58" t="s">
        <v>1123</v>
      </c>
      <c r="O285" s="5">
        <v>8.5</v>
      </c>
      <c r="P285" s="5">
        <v>200</v>
      </c>
      <c r="Q285" s="5">
        <v>1700</v>
      </c>
      <c r="R285" s="5" t="s">
        <v>1122</v>
      </c>
      <c r="S285" s="3" t="s">
        <v>837</v>
      </c>
    </row>
    <row r="286" spans="1:19" ht="16.899999999999999" x14ac:dyDescent="0.4">
      <c r="A286" s="62" t="s">
        <v>1147</v>
      </c>
      <c r="B286" s="2">
        <v>45544</v>
      </c>
      <c r="C286" s="21" t="s">
        <v>838</v>
      </c>
      <c r="D286" s="3" t="s">
        <v>839</v>
      </c>
      <c r="E286" s="2">
        <v>45547</v>
      </c>
      <c r="F286" s="3" t="s">
        <v>593</v>
      </c>
      <c r="G286" s="3" t="s">
        <v>1126</v>
      </c>
      <c r="H286" s="32" t="s">
        <v>1124</v>
      </c>
      <c r="I286" s="3" t="s">
        <v>594</v>
      </c>
      <c r="J286" s="1" t="s">
        <v>311</v>
      </c>
      <c r="L286" s="58" t="s">
        <v>1160</v>
      </c>
      <c r="M286" s="58" t="s">
        <v>1150</v>
      </c>
      <c r="N286" s="58" t="s">
        <v>1123</v>
      </c>
      <c r="O286" s="5">
        <v>4.8</v>
      </c>
      <c r="P286" s="5">
        <v>50</v>
      </c>
      <c r="Q286" s="5">
        <v>240</v>
      </c>
      <c r="R286" s="36" t="s">
        <v>1145</v>
      </c>
      <c r="S286" s="3" t="s">
        <v>840</v>
      </c>
    </row>
    <row r="287" spans="1:19" ht="16.899999999999999" x14ac:dyDescent="0.4">
      <c r="A287" s="62" t="s">
        <v>1147</v>
      </c>
      <c r="B287" s="2">
        <v>45544</v>
      </c>
      <c r="C287" s="21" t="s">
        <v>838</v>
      </c>
      <c r="D287" s="3" t="s">
        <v>839</v>
      </c>
      <c r="E287" s="2">
        <v>45547</v>
      </c>
      <c r="F287" s="3" t="s">
        <v>593</v>
      </c>
      <c r="G287" s="3" t="s">
        <v>1126</v>
      </c>
      <c r="H287" s="32" t="s">
        <v>1124</v>
      </c>
      <c r="I287" s="3" t="s">
        <v>841</v>
      </c>
      <c r="L287" s="58" t="s">
        <v>1160</v>
      </c>
      <c r="M287" s="58" t="s">
        <v>1150</v>
      </c>
      <c r="N287" s="58" t="s">
        <v>1123</v>
      </c>
      <c r="O287" s="5">
        <v>4.5999999999999996</v>
      </c>
      <c r="P287" s="5">
        <v>50</v>
      </c>
      <c r="Q287" s="5">
        <v>230</v>
      </c>
      <c r="R287" s="5" t="s">
        <v>1145</v>
      </c>
      <c r="S287" s="30" t="s">
        <v>20</v>
      </c>
    </row>
    <row r="288" spans="1:19" ht="16.899999999999999" x14ac:dyDescent="0.4">
      <c r="A288" s="62" t="s">
        <v>1147</v>
      </c>
      <c r="B288" s="2">
        <v>45545</v>
      </c>
      <c r="C288" s="21" t="s">
        <v>108</v>
      </c>
      <c r="D288" s="3" t="s">
        <v>845</v>
      </c>
      <c r="E288" s="2">
        <v>45563</v>
      </c>
      <c r="F288" s="3" t="s">
        <v>525</v>
      </c>
      <c r="G288" s="3" t="s">
        <v>356</v>
      </c>
      <c r="H288" s="32" t="s">
        <v>1124</v>
      </c>
      <c r="I288" s="3" t="s">
        <v>526</v>
      </c>
      <c r="J288" s="1" t="s">
        <v>527</v>
      </c>
      <c r="L288" s="58" t="s">
        <v>1160</v>
      </c>
      <c r="M288" s="58" t="s">
        <v>1150</v>
      </c>
      <c r="N288" s="58" t="s">
        <v>1123</v>
      </c>
      <c r="O288" s="5">
        <v>6</v>
      </c>
      <c r="P288" s="5">
        <v>500</v>
      </c>
      <c r="Q288" s="5">
        <v>3000</v>
      </c>
      <c r="R288" s="5" t="s">
        <v>1145</v>
      </c>
      <c r="S288" s="3" t="s">
        <v>846</v>
      </c>
    </row>
    <row r="289" spans="1:19" ht="16.899999999999999" x14ac:dyDescent="0.4">
      <c r="A289" s="62" t="s">
        <v>1147</v>
      </c>
      <c r="B289" s="2">
        <v>45551</v>
      </c>
      <c r="C289" s="21" t="s">
        <v>842</v>
      </c>
      <c r="D289" s="3" t="s">
        <v>843</v>
      </c>
      <c r="E289" s="2">
        <v>45561</v>
      </c>
      <c r="F289" s="3" t="s">
        <v>593</v>
      </c>
      <c r="G289" s="3" t="s">
        <v>356</v>
      </c>
      <c r="H289" s="32" t="s">
        <v>1124</v>
      </c>
      <c r="I289" s="3" t="s">
        <v>594</v>
      </c>
      <c r="J289" s="1" t="s">
        <v>311</v>
      </c>
      <c r="L289" s="58" t="s">
        <v>1160</v>
      </c>
      <c r="M289" s="58" t="s">
        <v>1150</v>
      </c>
      <c r="N289" s="58" t="s">
        <v>1123</v>
      </c>
      <c r="O289" s="5">
        <v>4.8</v>
      </c>
      <c r="P289" s="5">
        <v>250</v>
      </c>
      <c r="Q289" s="5">
        <v>1200</v>
      </c>
      <c r="R289" s="5" t="s">
        <v>1145</v>
      </c>
      <c r="S289" s="3" t="s">
        <v>844</v>
      </c>
    </row>
    <row r="290" spans="1:19" ht="16.899999999999999" x14ac:dyDescent="0.4">
      <c r="A290" s="62" t="s">
        <v>1147</v>
      </c>
      <c r="B290" s="2">
        <v>45559</v>
      </c>
      <c r="C290" s="1" t="s">
        <v>847</v>
      </c>
      <c r="D290" s="3" t="s">
        <v>848</v>
      </c>
      <c r="E290" s="2">
        <v>45559</v>
      </c>
      <c r="F290" s="3" t="s">
        <v>593</v>
      </c>
      <c r="G290" s="3" t="s">
        <v>356</v>
      </c>
      <c r="H290" s="32" t="s">
        <v>1124</v>
      </c>
      <c r="I290" s="3" t="s">
        <v>849</v>
      </c>
      <c r="J290" s="1" t="s">
        <v>83</v>
      </c>
      <c r="K290" s="4" t="s">
        <v>82</v>
      </c>
      <c r="L290" s="58" t="s">
        <v>1161</v>
      </c>
      <c r="M290" s="4" t="s">
        <v>1151</v>
      </c>
      <c r="N290" s="58" t="s">
        <v>1123</v>
      </c>
      <c r="O290" s="5">
        <v>90</v>
      </c>
      <c r="P290" s="5">
        <v>350</v>
      </c>
      <c r="Q290" s="5">
        <v>31500</v>
      </c>
      <c r="R290" s="5" t="s">
        <v>1146</v>
      </c>
      <c r="S290" s="3" t="s">
        <v>850</v>
      </c>
    </row>
    <row r="291" spans="1:19" ht="16.899999999999999" x14ac:dyDescent="0.4">
      <c r="A291" s="62" t="s">
        <v>1147</v>
      </c>
      <c r="B291" s="2">
        <v>45562</v>
      </c>
      <c r="C291" s="1" t="s">
        <v>29</v>
      </c>
      <c r="D291" s="3" t="s">
        <v>851</v>
      </c>
      <c r="E291" s="2">
        <v>45576</v>
      </c>
      <c r="F291" s="3" t="s">
        <v>471</v>
      </c>
      <c r="G291" s="3" t="s">
        <v>81</v>
      </c>
      <c r="H291" s="32" t="s">
        <v>1124</v>
      </c>
      <c r="I291" s="3" t="s">
        <v>504</v>
      </c>
      <c r="J291" s="1" t="s">
        <v>454</v>
      </c>
      <c r="K291" s="4" t="s">
        <v>453</v>
      </c>
      <c r="L291" s="58" t="s">
        <v>1161</v>
      </c>
      <c r="M291" s="4" t="s">
        <v>1157</v>
      </c>
      <c r="N291" s="58" t="s">
        <v>1123</v>
      </c>
      <c r="O291" s="5">
        <v>12.3</v>
      </c>
      <c r="P291" s="5">
        <v>250</v>
      </c>
      <c r="Q291" s="5">
        <v>3075</v>
      </c>
      <c r="R291" s="5" t="s">
        <v>1122</v>
      </c>
      <c r="S291" s="3" t="s">
        <v>852</v>
      </c>
    </row>
    <row r="292" spans="1:19" ht="16.899999999999999" x14ac:dyDescent="0.4">
      <c r="A292" s="62" t="s">
        <v>1147</v>
      </c>
      <c r="B292" s="2">
        <v>45569</v>
      </c>
      <c r="C292" s="21" t="s">
        <v>758</v>
      </c>
      <c r="D292" s="3" t="s">
        <v>853</v>
      </c>
      <c r="E292" s="2" t="s">
        <v>855</v>
      </c>
      <c r="F292" s="3" t="s">
        <v>525</v>
      </c>
      <c r="G292" s="3" t="s">
        <v>1134</v>
      </c>
      <c r="H292" s="32" t="s">
        <v>1124</v>
      </c>
      <c r="I292" s="3" t="s">
        <v>408</v>
      </c>
      <c r="J292" s="1" t="s">
        <v>834</v>
      </c>
      <c r="K292" s="4" t="s">
        <v>854</v>
      </c>
      <c r="L292" s="58" t="s">
        <v>1161</v>
      </c>
      <c r="M292" s="4" t="s">
        <v>1156</v>
      </c>
      <c r="N292" s="58" t="s">
        <v>1123</v>
      </c>
      <c r="O292" s="5">
        <v>12</v>
      </c>
      <c r="P292" s="5">
        <v>8000</v>
      </c>
      <c r="Q292" s="5">
        <v>96000</v>
      </c>
      <c r="R292" s="5" t="s">
        <v>1145</v>
      </c>
      <c r="S292" s="3" t="s">
        <v>856</v>
      </c>
    </row>
    <row r="293" spans="1:19" ht="16.899999999999999" x14ac:dyDescent="0.4">
      <c r="A293" s="62" t="s">
        <v>1147</v>
      </c>
      <c r="B293" s="2">
        <v>45579</v>
      </c>
      <c r="C293" s="31" t="s">
        <v>857</v>
      </c>
      <c r="D293" s="3" t="s">
        <v>858</v>
      </c>
      <c r="E293" s="2">
        <v>45579</v>
      </c>
      <c r="F293" s="3" t="s">
        <v>593</v>
      </c>
      <c r="G293" s="3" t="s">
        <v>356</v>
      </c>
      <c r="H293" s="32" t="s">
        <v>1124</v>
      </c>
      <c r="I293" s="3" t="s">
        <v>594</v>
      </c>
      <c r="J293" s="1" t="s">
        <v>311</v>
      </c>
      <c r="L293" s="58" t="s">
        <v>1161</v>
      </c>
      <c r="M293" s="4" t="s">
        <v>1151</v>
      </c>
      <c r="N293" s="58" t="s">
        <v>1123</v>
      </c>
      <c r="O293" s="5">
        <v>35</v>
      </c>
      <c r="P293" s="5">
        <v>250</v>
      </c>
      <c r="Q293" s="5">
        <v>8750</v>
      </c>
      <c r="R293" s="5" t="s">
        <v>1146</v>
      </c>
      <c r="S293" s="3" t="s">
        <v>859</v>
      </c>
    </row>
    <row r="294" spans="1:19" ht="16.899999999999999" x14ac:dyDescent="0.4">
      <c r="A294" s="62" t="s">
        <v>1147</v>
      </c>
      <c r="B294" s="2">
        <v>45579</v>
      </c>
      <c r="C294" s="1" t="s">
        <v>860</v>
      </c>
      <c r="D294" s="3" t="s">
        <v>858</v>
      </c>
      <c r="E294" s="2">
        <v>45579</v>
      </c>
      <c r="F294" s="3" t="s">
        <v>593</v>
      </c>
      <c r="G294" s="3" t="s">
        <v>356</v>
      </c>
      <c r="H294" s="32" t="s">
        <v>1124</v>
      </c>
      <c r="I294" s="3" t="s">
        <v>735</v>
      </c>
      <c r="L294" s="58" t="s">
        <v>1161</v>
      </c>
      <c r="M294" s="4" t="s">
        <v>1151</v>
      </c>
      <c r="N294" s="58" t="s">
        <v>1123</v>
      </c>
      <c r="O294" s="5">
        <v>0.35</v>
      </c>
      <c r="P294" s="5">
        <v>250</v>
      </c>
      <c r="Q294" s="5">
        <v>87.5</v>
      </c>
      <c r="R294" s="5" t="s">
        <v>1146</v>
      </c>
      <c r="S294" s="3" t="s">
        <v>859</v>
      </c>
    </row>
    <row r="295" spans="1:19" ht="16.899999999999999" x14ac:dyDescent="0.4">
      <c r="A295" s="62" t="s">
        <v>1147</v>
      </c>
      <c r="B295" s="2">
        <v>45602</v>
      </c>
      <c r="C295" s="21" t="s">
        <v>863</v>
      </c>
      <c r="D295" s="3" t="s">
        <v>864</v>
      </c>
      <c r="E295" s="2">
        <v>45642</v>
      </c>
      <c r="F295" s="3" t="s">
        <v>649</v>
      </c>
      <c r="G295" s="3" t="s">
        <v>1126</v>
      </c>
      <c r="H295" s="32" t="s">
        <v>1124</v>
      </c>
      <c r="I295" s="3" t="s">
        <v>865</v>
      </c>
      <c r="J295" s="1" t="s">
        <v>866</v>
      </c>
      <c r="K295" s="4">
        <v>1020434</v>
      </c>
      <c r="L295" s="58" t="s">
        <v>1161</v>
      </c>
      <c r="M295" s="4" t="s">
        <v>1151</v>
      </c>
      <c r="N295" s="58" t="s">
        <v>1123</v>
      </c>
      <c r="O295" s="5">
        <v>18.45</v>
      </c>
      <c r="P295" s="5">
        <v>4000</v>
      </c>
      <c r="Q295" s="5">
        <v>73800</v>
      </c>
      <c r="R295" s="5" t="s">
        <v>1145</v>
      </c>
      <c r="S295" s="3" t="s">
        <v>867</v>
      </c>
    </row>
    <row r="296" spans="1:19" ht="16.899999999999999" x14ac:dyDescent="0.4">
      <c r="A296" s="62" t="s">
        <v>1147</v>
      </c>
      <c r="B296" s="2">
        <v>45603</v>
      </c>
      <c r="C296" s="21" t="s">
        <v>0</v>
      </c>
      <c r="D296" s="3" t="s">
        <v>868</v>
      </c>
      <c r="E296" s="2">
        <v>45626</v>
      </c>
      <c r="F296" s="3" t="s">
        <v>471</v>
      </c>
      <c r="G296" s="3" t="s">
        <v>356</v>
      </c>
      <c r="H296" s="32" t="s">
        <v>1124</v>
      </c>
      <c r="I296" s="3" t="s">
        <v>504</v>
      </c>
      <c r="J296" s="1" t="s">
        <v>834</v>
      </c>
      <c r="K296" s="4" t="s">
        <v>869</v>
      </c>
      <c r="L296" s="58" t="s">
        <v>1161</v>
      </c>
      <c r="M296" s="4" t="s">
        <v>1158</v>
      </c>
      <c r="N296" s="58" t="s">
        <v>1123</v>
      </c>
      <c r="O296" s="5">
        <v>14</v>
      </c>
      <c r="P296" s="5">
        <v>100</v>
      </c>
      <c r="Q296" s="5">
        <v>1400</v>
      </c>
      <c r="R296" s="5" t="s">
        <v>1145</v>
      </c>
      <c r="S296" s="3" t="s">
        <v>870</v>
      </c>
    </row>
    <row r="297" spans="1:19" ht="16.899999999999999" x14ac:dyDescent="0.4">
      <c r="A297" s="62" t="s">
        <v>1147</v>
      </c>
      <c r="B297" s="2">
        <v>45607</v>
      </c>
      <c r="C297" s="21" t="s">
        <v>0</v>
      </c>
      <c r="D297" s="3" t="s">
        <v>871</v>
      </c>
      <c r="E297" s="2">
        <v>45671</v>
      </c>
      <c r="F297" s="3" t="s">
        <v>1140</v>
      </c>
      <c r="G297" s="3" t="s">
        <v>356</v>
      </c>
      <c r="H297" s="32" t="s">
        <v>1124</v>
      </c>
      <c r="I297" s="3" t="s">
        <v>475</v>
      </c>
      <c r="J297" s="1" t="s">
        <v>872</v>
      </c>
      <c r="K297" s="4" t="s">
        <v>231</v>
      </c>
      <c r="L297" s="58" t="s">
        <v>1161</v>
      </c>
      <c r="M297" s="4" t="s">
        <v>1158</v>
      </c>
      <c r="N297" s="58" t="s">
        <v>1123</v>
      </c>
      <c r="O297" s="5">
        <v>26.2</v>
      </c>
      <c r="P297" s="5">
        <v>3200</v>
      </c>
      <c r="Q297" s="5">
        <v>83840</v>
      </c>
      <c r="R297" s="5" t="s">
        <v>1145</v>
      </c>
      <c r="S297" s="3" t="s">
        <v>873</v>
      </c>
    </row>
    <row r="298" spans="1:19" ht="16.899999999999999" x14ac:dyDescent="0.4">
      <c r="A298" s="62" t="s">
        <v>1147</v>
      </c>
      <c r="B298" s="2">
        <v>45608</v>
      </c>
      <c r="C298" s="21" t="s">
        <v>0</v>
      </c>
      <c r="D298" s="3" t="s">
        <v>879</v>
      </c>
      <c r="E298" s="2">
        <v>45626</v>
      </c>
      <c r="F298" s="3" t="s">
        <v>471</v>
      </c>
      <c r="G298" s="3" t="s">
        <v>356</v>
      </c>
      <c r="H298" s="32" t="s">
        <v>1124</v>
      </c>
      <c r="I298" s="3" t="s">
        <v>504</v>
      </c>
      <c r="J298" s="1" t="s">
        <v>834</v>
      </c>
      <c r="K298" s="4" t="s">
        <v>869</v>
      </c>
      <c r="L298" s="58" t="s">
        <v>1161</v>
      </c>
      <c r="M298" s="4" t="s">
        <v>1158</v>
      </c>
      <c r="N298" s="58" t="s">
        <v>1123</v>
      </c>
      <c r="O298" s="5">
        <v>14</v>
      </c>
      <c r="P298" s="5">
        <v>100</v>
      </c>
      <c r="Q298" s="5">
        <v>1400</v>
      </c>
      <c r="R298" s="5" t="s">
        <v>1145</v>
      </c>
      <c r="S298" s="3" t="s">
        <v>870</v>
      </c>
    </row>
    <row r="299" spans="1:19" ht="16.899999999999999" x14ac:dyDescent="0.4">
      <c r="A299" s="62" t="s">
        <v>1147</v>
      </c>
      <c r="B299" s="2">
        <v>45609</v>
      </c>
      <c r="C299" s="1" t="s">
        <v>842</v>
      </c>
      <c r="D299" s="3" t="s">
        <v>874</v>
      </c>
      <c r="E299" s="2">
        <v>45614</v>
      </c>
      <c r="F299" s="3" t="s">
        <v>788</v>
      </c>
      <c r="G299" s="3" t="s">
        <v>356</v>
      </c>
      <c r="H299" s="32" t="s">
        <v>1130</v>
      </c>
      <c r="I299" s="3" t="s">
        <v>875</v>
      </c>
      <c r="J299" s="1" t="s">
        <v>877</v>
      </c>
      <c r="K299" s="4" t="s">
        <v>876</v>
      </c>
      <c r="L299" s="58" t="s">
        <v>1161</v>
      </c>
      <c r="M299" s="4" t="s">
        <v>1151</v>
      </c>
      <c r="N299" s="58" t="s">
        <v>1123</v>
      </c>
      <c r="O299" s="5">
        <v>0</v>
      </c>
      <c r="P299" s="5">
        <v>10</v>
      </c>
      <c r="Q299" s="5">
        <v>0</v>
      </c>
      <c r="R299" s="5" t="s">
        <v>1145</v>
      </c>
      <c r="S299" s="3" t="s">
        <v>878</v>
      </c>
    </row>
    <row r="300" spans="1:19" ht="16.899999999999999" x14ac:dyDescent="0.4">
      <c r="A300" s="62" t="s">
        <v>1147</v>
      </c>
      <c r="B300" s="2">
        <v>45618</v>
      </c>
      <c r="C300" s="1" t="s">
        <v>29</v>
      </c>
      <c r="D300" s="3" t="s">
        <v>880</v>
      </c>
      <c r="E300" s="2">
        <v>45733</v>
      </c>
      <c r="F300" s="3" t="s">
        <v>471</v>
      </c>
      <c r="G300" s="3" t="s">
        <v>81</v>
      </c>
      <c r="H300" s="32" t="s">
        <v>1124</v>
      </c>
      <c r="I300" s="3" t="s">
        <v>504</v>
      </c>
      <c r="J300" s="1" t="s">
        <v>673</v>
      </c>
      <c r="K300" s="4" t="s">
        <v>409</v>
      </c>
      <c r="L300" s="58" t="s">
        <v>1161</v>
      </c>
      <c r="M300" s="4" t="s">
        <v>1157</v>
      </c>
      <c r="N300" s="58" t="s">
        <v>1123</v>
      </c>
      <c r="O300" s="5">
        <v>10.9</v>
      </c>
      <c r="P300" s="5">
        <v>7000</v>
      </c>
      <c r="Q300" s="5">
        <v>76300</v>
      </c>
      <c r="R300" s="5" t="s">
        <v>1122</v>
      </c>
      <c r="S300" s="3" t="s">
        <v>881</v>
      </c>
    </row>
    <row r="301" spans="1:19" ht="16.899999999999999" x14ac:dyDescent="0.4">
      <c r="A301" s="62" t="s">
        <v>1147</v>
      </c>
      <c r="B301" s="2">
        <v>45618</v>
      </c>
      <c r="C301" s="1" t="s">
        <v>29</v>
      </c>
      <c r="D301" s="3" t="s">
        <v>882</v>
      </c>
      <c r="E301" s="2">
        <v>45731</v>
      </c>
      <c r="F301" s="3" t="s">
        <v>471</v>
      </c>
      <c r="G301" s="3" t="s">
        <v>81</v>
      </c>
      <c r="H301" s="32" t="s">
        <v>1124</v>
      </c>
      <c r="I301" s="3" t="s">
        <v>504</v>
      </c>
      <c r="J301" s="1" t="s">
        <v>64</v>
      </c>
      <c r="K301" s="4" t="s">
        <v>552</v>
      </c>
      <c r="L301" s="58" t="s">
        <v>1161</v>
      </c>
      <c r="M301" s="4" t="s">
        <v>1157</v>
      </c>
      <c r="N301" s="58" t="s">
        <v>1123</v>
      </c>
      <c r="O301" s="5">
        <v>11.2</v>
      </c>
      <c r="P301" s="5">
        <v>600</v>
      </c>
      <c r="Q301" s="5">
        <v>6720</v>
      </c>
      <c r="R301" s="5" t="s">
        <v>1122</v>
      </c>
      <c r="S301" s="3" t="s">
        <v>883</v>
      </c>
    </row>
    <row r="302" spans="1:19" ht="16.899999999999999" x14ac:dyDescent="0.4">
      <c r="A302" s="62" t="s">
        <v>1147</v>
      </c>
      <c r="B302" s="2">
        <v>45618</v>
      </c>
      <c r="C302" s="1" t="s">
        <v>29</v>
      </c>
      <c r="D302" s="3" t="s">
        <v>884</v>
      </c>
      <c r="E302" s="2">
        <v>45733</v>
      </c>
      <c r="F302" s="3" t="s">
        <v>471</v>
      </c>
      <c r="G302" s="3" t="s">
        <v>81</v>
      </c>
      <c r="H302" s="32" t="s">
        <v>1124</v>
      </c>
      <c r="I302" s="3" t="s">
        <v>487</v>
      </c>
      <c r="J302" s="1" t="s">
        <v>454</v>
      </c>
      <c r="K302" s="4" t="s">
        <v>885</v>
      </c>
      <c r="L302" s="58" t="s">
        <v>1160</v>
      </c>
      <c r="M302" s="4" t="s">
        <v>1157</v>
      </c>
      <c r="N302" s="58" t="s">
        <v>1123</v>
      </c>
      <c r="O302" s="5">
        <v>8.1</v>
      </c>
      <c r="P302" s="5">
        <v>600</v>
      </c>
      <c r="Q302" s="5">
        <v>4860</v>
      </c>
      <c r="R302" s="5" t="s">
        <v>1122</v>
      </c>
      <c r="S302" s="3" t="s">
        <v>886</v>
      </c>
    </row>
    <row r="303" spans="1:19" ht="16.899999999999999" x14ac:dyDescent="0.4">
      <c r="A303" s="62" t="s">
        <v>1147</v>
      </c>
      <c r="B303" s="2">
        <v>45618</v>
      </c>
      <c r="C303" s="1" t="s">
        <v>29</v>
      </c>
      <c r="D303" s="11" t="s">
        <v>887</v>
      </c>
      <c r="E303" s="2">
        <v>45754</v>
      </c>
      <c r="F303" s="3" t="s">
        <v>471</v>
      </c>
      <c r="G303" s="3" t="s">
        <v>81</v>
      </c>
      <c r="H303" s="32" t="s">
        <v>1124</v>
      </c>
      <c r="I303" s="8" t="s">
        <v>888</v>
      </c>
      <c r="J303" s="1" t="s">
        <v>64</v>
      </c>
      <c r="K303" s="4" t="s">
        <v>889</v>
      </c>
      <c r="L303" s="58" t="s">
        <v>1160</v>
      </c>
      <c r="M303" s="4" t="s">
        <v>1157</v>
      </c>
      <c r="N303" s="58" t="s">
        <v>1123</v>
      </c>
      <c r="O303" s="5">
        <v>14.5</v>
      </c>
      <c r="P303" s="5">
        <v>3500</v>
      </c>
      <c r="Q303" s="5">
        <v>50750</v>
      </c>
      <c r="R303" s="5" t="s">
        <v>1122</v>
      </c>
      <c r="S303" s="3" t="s">
        <v>890</v>
      </c>
    </row>
    <row r="304" spans="1:19" ht="16.899999999999999" x14ac:dyDescent="0.4">
      <c r="A304" s="62" t="s">
        <v>1147</v>
      </c>
      <c r="B304" s="2">
        <v>45622</v>
      </c>
      <c r="C304" s="21" t="s">
        <v>758</v>
      </c>
      <c r="D304" s="3" t="s">
        <v>891</v>
      </c>
      <c r="E304" s="2">
        <v>45719</v>
      </c>
      <c r="F304" s="3" t="s">
        <v>525</v>
      </c>
      <c r="G304" s="3" t="s">
        <v>1134</v>
      </c>
      <c r="H304" s="32" t="s">
        <v>1124</v>
      </c>
      <c r="I304" s="3" t="s">
        <v>408</v>
      </c>
      <c r="J304" s="1" t="s">
        <v>834</v>
      </c>
      <c r="K304" s="4" t="s">
        <v>833</v>
      </c>
      <c r="L304" s="58" t="s">
        <v>1161</v>
      </c>
      <c r="M304" s="4" t="s">
        <v>1156</v>
      </c>
      <c r="N304" s="58" t="s">
        <v>1123</v>
      </c>
      <c r="O304" s="5">
        <v>12</v>
      </c>
      <c r="P304" s="5">
        <v>4000</v>
      </c>
      <c r="Q304" s="5">
        <v>48000</v>
      </c>
      <c r="R304" s="5" t="s">
        <v>1145</v>
      </c>
      <c r="S304" s="3" t="s">
        <v>892</v>
      </c>
    </row>
    <row r="305" spans="1:19" ht="16.899999999999999" x14ac:dyDescent="0.4">
      <c r="A305" s="62" t="s">
        <v>1147</v>
      </c>
      <c r="B305" s="2">
        <v>45628</v>
      </c>
      <c r="C305" s="21" t="s">
        <v>120</v>
      </c>
      <c r="D305" s="3" t="s">
        <v>893</v>
      </c>
      <c r="E305" s="2">
        <v>45676</v>
      </c>
      <c r="F305" s="3" t="s">
        <v>471</v>
      </c>
      <c r="G305" s="3" t="s">
        <v>356</v>
      </c>
      <c r="H305" s="32" t="s">
        <v>1124</v>
      </c>
      <c r="I305" s="3" t="s">
        <v>20</v>
      </c>
      <c r="J305" s="1">
        <v>10835801096</v>
      </c>
      <c r="K305" s="4" t="s">
        <v>894</v>
      </c>
      <c r="L305" s="58" t="s">
        <v>1161</v>
      </c>
      <c r="M305" s="4" t="s">
        <v>1151</v>
      </c>
      <c r="N305" s="58" t="s">
        <v>1123</v>
      </c>
      <c r="O305" s="5">
        <v>13.3</v>
      </c>
      <c r="P305" s="5">
        <v>2750</v>
      </c>
      <c r="Q305" s="5">
        <v>36575</v>
      </c>
      <c r="R305" s="5" t="s">
        <v>1145</v>
      </c>
      <c r="S305" s="3" t="s">
        <v>895</v>
      </c>
    </row>
    <row r="306" spans="1:19" ht="16.899999999999999" x14ac:dyDescent="0.4">
      <c r="A306" s="62" t="s">
        <v>1147</v>
      </c>
      <c r="B306" s="2">
        <v>45630</v>
      </c>
      <c r="C306" s="21" t="s">
        <v>896</v>
      </c>
      <c r="D306" s="11" t="s">
        <v>897</v>
      </c>
      <c r="E306" s="2">
        <v>45752</v>
      </c>
      <c r="F306" s="3" t="s">
        <v>525</v>
      </c>
      <c r="G306" s="3" t="s">
        <v>1134</v>
      </c>
      <c r="H306" s="32" t="s">
        <v>1124</v>
      </c>
      <c r="I306" s="3" t="s">
        <v>504</v>
      </c>
      <c r="J306" s="1" t="s">
        <v>467</v>
      </c>
      <c r="K306" s="33" t="s">
        <v>898</v>
      </c>
      <c r="L306" s="58" t="s">
        <v>1161</v>
      </c>
      <c r="M306" s="4" t="s">
        <v>1151</v>
      </c>
      <c r="N306" s="58" t="s">
        <v>1123</v>
      </c>
      <c r="O306" s="5">
        <v>15.5</v>
      </c>
      <c r="P306" s="5">
        <v>3500</v>
      </c>
      <c r="Q306" s="5">
        <v>54250</v>
      </c>
      <c r="R306" s="5" t="s">
        <v>1145</v>
      </c>
      <c r="S306" s="34" t="s">
        <v>899</v>
      </c>
    </row>
    <row r="307" spans="1:19" ht="16.899999999999999" x14ac:dyDescent="0.4">
      <c r="A307" s="62" t="s">
        <v>1147</v>
      </c>
      <c r="B307" s="2">
        <v>45630</v>
      </c>
      <c r="C307" s="21" t="s">
        <v>556</v>
      </c>
      <c r="D307" s="3" t="s">
        <v>900</v>
      </c>
      <c r="E307" s="2">
        <v>45684</v>
      </c>
      <c r="F307" s="3" t="s">
        <v>471</v>
      </c>
      <c r="G307" s="3" t="s">
        <v>356</v>
      </c>
      <c r="H307" s="32" t="s">
        <v>1124</v>
      </c>
      <c r="I307" s="3" t="s">
        <v>504</v>
      </c>
      <c r="J307" s="1" t="s">
        <v>673</v>
      </c>
      <c r="K307" s="4" t="s">
        <v>409</v>
      </c>
      <c r="L307" s="58" t="s">
        <v>1161</v>
      </c>
      <c r="M307" s="4" t="s">
        <v>1151</v>
      </c>
      <c r="N307" s="58" t="s">
        <v>1123</v>
      </c>
      <c r="O307" s="5">
        <v>13.1</v>
      </c>
      <c r="P307" s="5">
        <v>7600</v>
      </c>
      <c r="Q307" s="5">
        <v>99560</v>
      </c>
      <c r="R307" s="5" t="s">
        <v>1145</v>
      </c>
      <c r="S307" s="59" t="s">
        <v>901</v>
      </c>
    </row>
    <row r="308" spans="1:19" ht="16.899999999999999" x14ac:dyDescent="0.4">
      <c r="A308" s="62" t="s">
        <v>1147</v>
      </c>
      <c r="B308" s="2">
        <v>45631</v>
      </c>
      <c r="C308" s="21" t="s">
        <v>816</v>
      </c>
      <c r="D308" s="3" t="s">
        <v>906</v>
      </c>
      <c r="E308" s="2">
        <v>45684</v>
      </c>
      <c r="F308" s="3" t="s">
        <v>525</v>
      </c>
      <c r="G308" s="3" t="s">
        <v>1119</v>
      </c>
      <c r="H308" s="32" t="s">
        <v>1124</v>
      </c>
      <c r="I308" s="3" t="s">
        <v>504</v>
      </c>
      <c r="J308" s="1" t="s">
        <v>673</v>
      </c>
      <c r="K308" s="4" t="s">
        <v>409</v>
      </c>
      <c r="L308" s="58" t="s">
        <v>1161</v>
      </c>
      <c r="M308" s="4" t="s">
        <v>1151</v>
      </c>
      <c r="N308" s="58" t="s">
        <v>1123</v>
      </c>
      <c r="O308" s="5">
        <v>12</v>
      </c>
      <c r="P308" s="5">
        <v>500</v>
      </c>
      <c r="Q308" s="5">
        <v>6000</v>
      </c>
      <c r="R308" s="5" t="s">
        <v>1145</v>
      </c>
      <c r="S308" s="8" t="s">
        <v>631</v>
      </c>
    </row>
    <row r="309" spans="1:19" ht="16.899999999999999" x14ac:dyDescent="0.4">
      <c r="A309" s="62" t="s">
        <v>1147</v>
      </c>
      <c r="B309" s="2">
        <v>45631</v>
      </c>
      <c r="C309" s="21" t="s">
        <v>816</v>
      </c>
      <c r="D309" s="3" t="s">
        <v>907</v>
      </c>
      <c r="E309" s="2">
        <v>45684</v>
      </c>
      <c r="F309" s="3" t="s">
        <v>525</v>
      </c>
      <c r="G309" s="3" t="s">
        <v>1126</v>
      </c>
      <c r="H309" s="32" t="s">
        <v>1124</v>
      </c>
      <c r="I309" s="8" t="s">
        <v>908</v>
      </c>
      <c r="J309" s="1" t="s">
        <v>910</v>
      </c>
      <c r="K309" s="4" t="s">
        <v>909</v>
      </c>
      <c r="L309" s="58" t="s">
        <v>1161</v>
      </c>
      <c r="M309" s="4" t="s">
        <v>1151</v>
      </c>
      <c r="N309" s="58" t="s">
        <v>1123</v>
      </c>
      <c r="O309" s="5">
        <v>16.7</v>
      </c>
      <c r="P309" s="5">
        <v>3700</v>
      </c>
      <c r="Q309" s="5">
        <v>61790</v>
      </c>
      <c r="R309" s="5" t="s">
        <v>1145</v>
      </c>
      <c r="S309" s="3" t="s">
        <v>911</v>
      </c>
    </row>
    <row r="310" spans="1:19" ht="16.899999999999999" x14ac:dyDescent="0.4">
      <c r="A310" s="62" t="s">
        <v>1147</v>
      </c>
      <c r="B310" s="2">
        <v>45631</v>
      </c>
      <c r="C310" s="31" t="s">
        <v>857</v>
      </c>
      <c r="D310" s="3" t="s">
        <v>861</v>
      </c>
      <c r="E310" s="2">
        <v>45631</v>
      </c>
      <c r="F310" s="3" t="s">
        <v>593</v>
      </c>
      <c r="G310" s="3" t="s">
        <v>356</v>
      </c>
      <c r="H310" s="32" t="s">
        <v>1124</v>
      </c>
      <c r="I310" s="3" t="s">
        <v>594</v>
      </c>
      <c r="J310" s="1" t="s">
        <v>311</v>
      </c>
      <c r="L310" s="58" t="s">
        <v>1161</v>
      </c>
      <c r="M310" s="4" t="s">
        <v>1151</v>
      </c>
      <c r="N310" s="58" t="s">
        <v>1123</v>
      </c>
      <c r="O310" s="5">
        <v>35</v>
      </c>
      <c r="P310" s="5">
        <v>750</v>
      </c>
      <c r="Q310" s="5">
        <f>SUM(O310*P310)</f>
        <v>26250</v>
      </c>
      <c r="R310" s="5" t="s">
        <v>1146</v>
      </c>
      <c r="S310" s="32" t="s">
        <v>862</v>
      </c>
    </row>
    <row r="311" spans="1:19" ht="16.899999999999999" x14ac:dyDescent="0.4">
      <c r="A311" s="62" t="s">
        <v>1147</v>
      </c>
      <c r="B311" s="2">
        <v>45631</v>
      </c>
      <c r="C311" s="1" t="s">
        <v>860</v>
      </c>
      <c r="D311" s="3" t="s">
        <v>861</v>
      </c>
      <c r="E311" s="2">
        <v>45631</v>
      </c>
      <c r="F311" s="3" t="s">
        <v>593</v>
      </c>
      <c r="G311" s="3" t="s">
        <v>356</v>
      </c>
      <c r="H311" s="32" t="s">
        <v>1124</v>
      </c>
      <c r="I311" s="3" t="s">
        <v>735</v>
      </c>
      <c r="L311" s="58" t="s">
        <v>1161</v>
      </c>
      <c r="M311" s="4" t="s">
        <v>1151</v>
      </c>
      <c r="N311" s="58" t="s">
        <v>1123</v>
      </c>
      <c r="O311" s="5">
        <v>0.35</v>
      </c>
      <c r="P311" s="5">
        <v>750</v>
      </c>
      <c r="Q311" s="5">
        <f>SUM(O311*P311)</f>
        <v>262.5</v>
      </c>
      <c r="R311" s="5" t="s">
        <v>1146</v>
      </c>
      <c r="S311" s="32" t="s">
        <v>862</v>
      </c>
    </row>
    <row r="312" spans="1:19" ht="16.899999999999999" x14ac:dyDescent="0.4">
      <c r="A312" s="62" t="s">
        <v>1147</v>
      </c>
      <c r="B312" s="2">
        <v>45631</v>
      </c>
      <c r="C312" s="21" t="s">
        <v>816</v>
      </c>
      <c r="D312" s="3" t="s">
        <v>902</v>
      </c>
      <c r="E312" s="2">
        <v>45684</v>
      </c>
      <c r="F312" s="3" t="s">
        <v>503</v>
      </c>
      <c r="G312" s="3" t="s">
        <v>1119</v>
      </c>
      <c r="H312" s="32" t="s">
        <v>1124</v>
      </c>
      <c r="I312" s="3" t="s">
        <v>903</v>
      </c>
      <c r="J312" s="1" t="s">
        <v>904</v>
      </c>
      <c r="L312" s="58" t="s">
        <v>1160</v>
      </c>
      <c r="M312" s="58" t="s">
        <v>1150</v>
      </c>
      <c r="N312" s="58" t="s">
        <v>1123</v>
      </c>
      <c r="O312" s="5">
        <v>0.15</v>
      </c>
      <c r="P312" s="5">
        <v>25000</v>
      </c>
      <c r="Q312" s="5">
        <v>3750</v>
      </c>
      <c r="R312" s="5" t="s">
        <v>1145</v>
      </c>
      <c r="S312" s="30" t="s">
        <v>905</v>
      </c>
    </row>
    <row r="313" spans="1:19" ht="16.899999999999999" x14ac:dyDescent="0.4">
      <c r="A313" s="62" t="s">
        <v>1147</v>
      </c>
      <c r="B313" s="2">
        <v>45632</v>
      </c>
      <c r="C313" s="21" t="s">
        <v>501</v>
      </c>
      <c r="D313" s="3" t="s">
        <v>912</v>
      </c>
      <c r="E313" s="2">
        <v>45669</v>
      </c>
      <c r="F313" s="3" t="s">
        <v>503</v>
      </c>
      <c r="G313" s="3" t="s">
        <v>356</v>
      </c>
      <c r="H313" s="32" t="s">
        <v>1124</v>
      </c>
      <c r="I313" s="3" t="s">
        <v>656</v>
      </c>
      <c r="J313" s="1" t="s">
        <v>913</v>
      </c>
      <c r="K313" s="4" t="s">
        <v>657</v>
      </c>
      <c r="L313" s="58" t="s">
        <v>1161</v>
      </c>
      <c r="M313" s="4" t="s">
        <v>1151</v>
      </c>
      <c r="N313" s="58" t="s">
        <v>1123</v>
      </c>
      <c r="O313" s="5">
        <v>88</v>
      </c>
      <c r="P313" s="5">
        <v>100</v>
      </c>
      <c r="Q313" s="5">
        <v>8800</v>
      </c>
      <c r="R313" s="5" t="s">
        <v>1146</v>
      </c>
      <c r="S313" s="59" t="s">
        <v>914</v>
      </c>
    </row>
    <row r="314" spans="1:19" ht="16.899999999999999" x14ac:dyDescent="0.4">
      <c r="A314" s="62" t="s">
        <v>1147</v>
      </c>
      <c r="B314" s="2">
        <v>45632</v>
      </c>
      <c r="C314" s="21" t="s">
        <v>501</v>
      </c>
      <c r="D314" s="3" t="s">
        <v>915</v>
      </c>
      <c r="E314" s="2">
        <v>45669</v>
      </c>
      <c r="F314" s="3" t="s">
        <v>503</v>
      </c>
      <c r="G314" s="3" t="s">
        <v>356</v>
      </c>
      <c r="H314" s="32" t="s">
        <v>1124</v>
      </c>
      <c r="I314" s="3" t="s">
        <v>656</v>
      </c>
      <c r="J314" s="1" t="s">
        <v>917</v>
      </c>
      <c r="K314" s="4" t="s">
        <v>916</v>
      </c>
      <c r="L314" s="58" t="s">
        <v>1161</v>
      </c>
      <c r="M314" s="4" t="s">
        <v>1151</v>
      </c>
      <c r="N314" s="58" t="s">
        <v>1123</v>
      </c>
      <c r="O314" s="5">
        <v>88</v>
      </c>
      <c r="P314" s="5">
        <v>400</v>
      </c>
      <c r="Q314" s="5">
        <v>35200</v>
      </c>
      <c r="R314" s="5" t="s">
        <v>1146</v>
      </c>
      <c r="S314" s="3" t="s">
        <v>918</v>
      </c>
    </row>
    <row r="315" spans="1:19" ht="16.899999999999999" x14ac:dyDescent="0.4">
      <c r="A315" s="62" t="s">
        <v>1147</v>
      </c>
      <c r="B315" s="2">
        <v>45645</v>
      </c>
      <c r="C315" s="21" t="s">
        <v>506</v>
      </c>
      <c r="D315" s="3" t="s">
        <v>919</v>
      </c>
      <c r="E315" s="2">
        <v>45667</v>
      </c>
      <c r="F315" s="3" t="s">
        <v>1140</v>
      </c>
      <c r="G315" s="3" t="s">
        <v>1125</v>
      </c>
      <c r="H315" s="32" t="s">
        <v>1124</v>
      </c>
      <c r="I315" s="3" t="s">
        <v>475</v>
      </c>
      <c r="J315" s="1" t="s">
        <v>921</v>
      </c>
      <c r="K315" s="4" t="s">
        <v>920</v>
      </c>
      <c r="L315" s="58" t="s">
        <v>1161</v>
      </c>
      <c r="M315" s="4" t="s">
        <v>1151</v>
      </c>
      <c r="N315" s="58" t="s">
        <v>1123</v>
      </c>
      <c r="O315" s="5">
        <v>18.5</v>
      </c>
      <c r="P315" s="5">
        <v>300</v>
      </c>
      <c r="Q315" s="5">
        <v>5550</v>
      </c>
      <c r="R315" s="5" t="s">
        <v>1145</v>
      </c>
      <c r="S315" s="3" t="s">
        <v>922</v>
      </c>
    </row>
    <row r="316" spans="1:19" ht="16.899999999999999" x14ac:dyDescent="0.4">
      <c r="A316" s="62" t="s">
        <v>1147</v>
      </c>
      <c r="B316" s="2">
        <v>45693</v>
      </c>
      <c r="C316" s="21" t="s">
        <v>29</v>
      </c>
      <c r="D316" s="3" t="s">
        <v>923</v>
      </c>
      <c r="E316" s="2">
        <v>45777</v>
      </c>
      <c r="F316" s="3" t="s">
        <v>471</v>
      </c>
      <c r="G316" s="3" t="s">
        <v>1138</v>
      </c>
      <c r="H316" s="32" t="s">
        <v>1124</v>
      </c>
      <c r="I316" s="3" t="s">
        <v>504</v>
      </c>
      <c r="J316" s="1" t="s">
        <v>673</v>
      </c>
      <c r="K316" s="4" t="s">
        <v>409</v>
      </c>
      <c r="L316" s="58" t="s">
        <v>1161</v>
      </c>
      <c r="M316" s="4" t="s">
        <v>1157</v>
      </c>
      <c r="N316" s="58" t="s">
        <v>1123</v>
      </c>
      <c r="O316" s="5">
        <v>10.9</v>
      </c>
      <c r="P316" s="5">
        <v>2000</v>
      </c>
      <c r="Q316" s="5">
        <v>21800</v>
      </c>
      <c r="R316" s="5" t="s">
        <v>1122</v>
      </c>
      <c r="S316" s="8" t="s">
        <v>924</v>
      </c>
    </row>
    <row r="317" spans="1:19" ht="16.899999999999999" x14ac:dyDescent="0.4">
      <c r="A317" s="62" t="s">
        <v>1147</v>
      </c>
      <c r="B317" s="2">
        <v>45700</v>
      </c>
      <c r="C317" s="21" t="s">
        <v>120</v>
      </c>
      <c r="D317" s="3" t="s">
        <v>925</v>
      </c>
      <c r="E317" s="2">
        <v>45705</v>
      </c>
      <c r="F317" s="3" t="s">
        <v>503</v>
      </c>
      <c r="G317" s="3" t="s">
        <v>356</v>
      </c>
      <c r="H317" s="32" t="s">
        <v>1124</v>
      </c>
      <c r="I317" s="3" t="s">
        <v>526</v>
      </c>
      <c r="J317" s="1" t="s">
        <v>527</v>
      </c>
      <c r="L317" s="58" t="s">
        <v>1160</v>
      </c>
      <c r="M317" s="58" t="s">
        <v>1150</v>
      </c>
      <c r="N317" s="58" t="s">
        <v>1123</v>
      </c>
      <c r="O317" s="5">
        <v>4.8</v>
      </c>
      <c r="P317" s="5">
        <v>200</v>
      </c>
      <c r="Q317" s="5">
        <v>960</v>
      </c>
      <c r="R317" s="5" t="s">
        <v>1145</v>
      </c>
      <c r="S317" s="3" t="s">
        <v>926</v>
      </c>
    </row>
    <row r="318" spans="1:19" ht="16.899999999999999" x14ac:dyDescent="0.4">
      <c r="A318" s="62" t="s">
        <v>1147</v>
      </c>
      <c r="B318" s="2">
        <v>45707</v>
      </c>
      <c r="C318" s="21" t="s">
        <v>0</v>
      </c>
      <c r="D318" s="3" t="s">
        <v>927</v>
      </c>
      <c r="E318" s="2">
        <v>45731</v>
      </c>
      <c r="F318" s="3" t="s">
        <v>1140</v>
      </c>
      <c r="G318" s="3" t="s">
        <v>356</v>
      </c>
      <c r="H318" s="32" t="s">
        <v>1124</v>
      </c>
      <c r="I318" s="3" t="s">
        <v>487</v>
      </c>
      <c r="J318" s="1" t="s">
        <v>823</v>
      </c>
      <c r="K318" s="4" t="s">
        <v>676</v>
      </c>
      <c r="L318" s="58" t="s">
        <v>1161</v>
      </c>
      <c r="M318" s="4" t="s">
        <v>1158</v>
      </c>
      <c r="N318" s="58" t="s">
        <v>1123</v>
      </c>
      <c r="O318" s="5">
        <v>16.850000000000001</v>
      </c>
      <c r="P318" s="5">
        <v>700</v>
      </c>
      <c r="Q318" s="5">
        <v>11795</v>
      </c>
      <c r="R318" s="5" t="s">
        <v>1145</v>
      </c>
      <c r="S318" s="3" t="s">
        <v>928</v>
      </c>
    </row>
    <row r="319" spans="1:19" ht="16.899999999999999" x14ac:dyDescent="0.4">
      <c r="A319" s="62" t="s">
        <v>1147</v>
      </c>
      <c r="B319" s="2">
        <v>45712</v>
      </c>
      <c r="C319" s="21" t="s">
        <v>501</v>
      </c>
      <c r="D319" s="3" t="s">
        <v>929</v>
      </c>
      <c r="E319" s="2">
        <v>45856</v>
      </c>
      <c r="F319" s="3" t="s">
        <v>503</v>
      </c>
      <c r="G319" s="3" t="s">
        <v>356</v>
      </c>
      <c r="H319" s="32" t="s">
        <v>1124</v>
      </c>
      <c r="I319" s="3" t="s">
        <v>930</v>
      </c>
      <c r="J319" s="1" t="s">
        <v>677</v>
      </c>
      <c r="K319" s="4" t="s">
        <v>466</v>
      </c>
      <c r="L319" s="58" t="s">
        <v>1161</v>
      </c>
      <c r="M319" s="4" t="s">
        <v>1151</v>
      </c>
      <c r="N319" s="58" t="s">
        <v>1123</v>
      </c>
      <c r="O319" s="5">
        <v>88</v>
      </c>
      <c r="P319" s="5">
        <v>6000</v>
      </c>
      <c r="Q319" s="5">
        <v>528000</v>
      </c>
      <c r="R319" s="5" t="s">
        <v>1146</v>
      </c>
      <c r="S319" s="3" t="s">
        <v>931</v>
      </c>
    </row>
    <row r="320" spans="1:19" ht="16.899999999999999" x14ac:dyDescent="0.4">
      <c r="A320" s="62" t="s">
        <v>1147</v>
      </c>
      <c r="B320" s="2">
        <v>45713</v>
      </c>
      <c r="C320" s="1" t="s">
        <v>29</v>
      </c>
      <c r="D320" s="3" t="s">
        <v>932</v>
      </c>
      <c r="E320" s="35">
        <v>45823</v>
      </c>
      <c r="F320" s="3" t="s">
        <v>471</v>
      </c>
      <c r="G320" s="3" t="s">
        <v>1138</v>
      </c>
      <c r="H320" s="32" t="s">
        <v>1124</v>
      </c>
      <c r="I320" s="3" t="s">
        <v>504</v>
      </c>
      <c r="J320" s="1" t="s">
        <v>673</v>
      </c>
      <c r="K320" s="4" t="s">
        <v>409</v>
      </c>
      <c r="L320" s="58" t="s">
        <v>1161</v>
      </c>
      <c r="M320" s="4" t="s">
        <v>1157</v>
      </c>
      <c r="N320" s="58" t="s">
        <v>1123</v>
      </c>
      <c r="O320" s="5">
        <v>10.9</v>
      </c>
      <c r="P320" s="5">
        <v>6000</v>
      </c>
      <c r="Q320" s="5">
        <v>65400</v>
      </c>
      <c r="R320" s="5" t="s">
        <v>1122</v>
      </c>
      <c r="S320" s="8" t="s">
        <v>933</v>
      </c>
    </row>
    <row r="321" spans="1:19" ht="16.899999999999999" x14ac:dyDescent="0.4">
      <c r="A321" s="62" t="s">
        <v>1147</v>
      </c>
      <c r="B321" s="2">
        <v>45715</v>
      </c>
      <c r="C321" s="1" t="s">
        <v>29</v>
      </c>
      <c r="D321" s="3" t="s">
        <v>934</v>
      </c>
      <c r="E321" s="37">
        <v>45800</v>
      </c>
      <c r="F321" s="3" t="s">
        <v>471</v>
      </c>
      <c r="G321" s="3" t="s">
        <v>1138</v>
      </c>
      <c r="H321" s="32" t="s">
        <v>1124</v>
      </c>
      <c r="I321" s="3" t="s">
        <v>487</v>
      </c>
      <c r="J321" s="1" t="s">
        <v>718</v>
      </c>
      <c r="K321" s="4" t="s">
        <v>717</v>
      </c>
      <c r="L321" s="58" t="s">
        <v>1160</v>
      </c>
      <c r="M321" s="4" t="s">
        <v>1157</v>
      </c>
      <c r="N321" s="58" t="s">
        <v>1123</v>
      </c>
      <c r="O321" s="5">
        <v>10.9</v>
      </c>
      <c r="P321" s="36">
        <v>600</v>
      </c>
      <c r="Q321" s="36">
        <v>6540</v>
      </c>
      <c r="R321" s="5" t="s">
        <v>1122</v>
      </c>
      <c r="S321" s="3" t="s">
        <v>935</v>
      </c>
    </row>
    <row r="322" spans="1:19" ht="16.899999999999999" x14ac:dyDescent="0.4">
      <c r="A322" s="62" t="s">
        <v>1147</v>
      </c>
      <c r="B322" s="2">
        <v>45719</v>
      </c>
      <c r="C322" s="1" t="s">
        <v>469</v>
      </c>
      <c r="D322" s="11" t="s">
        <v>942</v>
      </c>
      <c r="E322" s="2">
        <v>45754</v>
      </c>
      <c r="F322" s="3" t="s">
        <v>471</v>
      </c>
      <c r="G322" s="3" t="s">
        <v>356</v>
      </c>
      <c r="H322" s="32" t="s">
        <v>1124</v>
      </c>
      <c r="I322" s="3" t="s">
        <v>408</v>
      </c>
      <c r="J322" s="1" t="s">
        <v>943</v>
      </c>
      <c r="K322" s="4">
        <v>1020434</v>
      </c>
      <c r="L322" s="58" t="s">
        <v>1161</v>
      </c>
      <c r="M322" s="4" t="s">
        <v>1153</v>
      </c>
      <c r="N322" s="58" t="s">
        <v>1123</v>
      </c>
      <c r="O322" s="5">
        <v>11.6</v>
      </c>
      <c r="P322" s="5">
        <v>400</v>
      </c>
      <c r="Q322" s="5">
        <v>4640</v>
      </c>
      <c r="R322" s="5" t="s">
        <v>1122</v>
      </c>
      <c r="S322" s="3" t="s">
        <v>944</v>
      </c>
    </row>
    <row r="323" spans="1:19" ht="16.899999999999999" x14ac:dyDescent="0.4">
      <c r="A323" s="62" t="s">
        <v>1147</v>
      </c>
      <c r="B323" s="2">
        <v>45719</v>
      </c>
      <c r="C323" s="1" t="s">
        <v>29</v>
      </c>
      <c r="D323" s="3" t="s">
        <v>936</v>
      </c>
      <c r="E323" s="39">
        <v>45858</v>
      </c>
      <c r="F323" s="3" t="s">
        <v>471</v>
      </c>
      <c r="G323" s="3" t="s">
        <v>1138</v>
      </c>
      <c r="H323" s="32" t="s">
        <v>1124</v>
      </c>
      <c r="I323" s="3" t="s">
        <v>504</v>
      </c>
      <c r="J323" s="1" t="s">
        <v>673</v>
      </c>
      <c r="K323" s="4" t="s">
        <v>409</v>
      </c>
      <c r="L323" s="58" t="s">
        <v>1161</v>
      </c>
      <c r="M323" s="4" t="s">
        <v>1157</v>
      </c>
      <c r="N323" s="58" t="s">
        <v>1123</v>
      </c>
      <c r="O323" s="5">
        <v>10.9</v>
      </c>
      <c r="P323" s="38">
        <v>6000</v>
      </c>
      <c r="Q323" s="38">
        <v>65400</v>
      </c>
      <c r="R323" s="5" t="s">
        <v>1122</v>
      </c>
      <c r="S323" s="8" t="s">
        <v>937</v>
      </c>
    </row>
    <row r="324" spans="1:19" ht="16.899999999999999" x14ac:dyDescent="0.4">
      <c r="A324" s="62" t="s">
        <v>1147</v>
      </c>
      <c r="B324" s="2">
        <v>45719</v>
      </c>
      <c r="C324" s="1" t="s">
        <v>29</v>
      </c>
      <c r="D324" s="3" t="s">
        <v>938</v>
      </c>
      <c r="E324" s="37">
        <v>45800</v>
      </c>
      <c r="F324" s="3" t="s">
        <v>471</v>
      </c>
      <c r="G324" s="3" t="s">
        <v>1138</v>
      </c>
      <c r="H324" s="32" t="s">
        <v>1124</v>
      </c>
      <c r="I324" s="3" t="s">
        <v>504</v>
      </c>
      <c r="J324" s="1" t="s">
        <v>454</v>
      </c>
      <c r="K324" s="4" t="s">
        <v>457</v>
      </c>
      <c r="L324" s="58" t="s">
        <v>1161</v>
      </c>
      <c r="M324" s="4" t="s">
        <v>1157</v>
      </c>
      <c r="N324" s="58" t="s">
        <v>1123</v>
      </c>
      <c r="O324" s="5">
        <v>12.3</v>
      </c>
      <c r="P324" s="36">
        <v>400</v>
      </c>
      <c r="Q324" s="36">
        <v>4920</v>
      </c>
      <c r="R324" s="5" t="s">
        <v>1122</v>
      </c>
      <c r="S324" s="3" t="s">
        <v>939</v>
      </c>
    </row>
    <row r="325" spans="1:19" ht="16.899999999999999" x14ac:dyDescent="0.4">
      <c r="A325" s="62" t="s">
        <v>1147</v>
      </c>
      <c r="B325" s="2">
        <v>45719</v>
      </c>
      <c r="C325" s="1" t="s">
        <v>29</v>
      </c>
      <c r="D325" s="3" t="s">
        <v>940</v>
      </c>
      <c r="E325" s="2">
        <v>45823</v>
      </c>
      <c r="F325" s="3" t="s">
        <v>471</v>
      </c>
      <c r="G325" s="3" t="s">
        <v>1138</v>
      </c>
      <c r="H325" s="32" t="s">
        <v>1124</v>
      </c>
      <c r="I325" s="3" t="s">
        <v>504</v>
      </c>
      <c r="J325" s="1" t="s">
        <v>454</v>
      </c>
      <c r="K325" s="4" t="s">
        <v>457</v>
      </c>
      <c r="L325" s="58" t="s">
        <v>1161</v>
      </c>
      <c r="M325" s="4" t="s">
        <v>1157</v>
      </c>
      <c r="N325" s="58" t="s">
        <v>1123</v>
      </c>
      <c r="O325" s="5">
        <v>12.3</v>
      </c>
      <c r="P325" s="5">
        <v>3000</v>
      </c>
      <c r="Q325" s="5">
        <v>36900</v>
      </c>
      <c r="R325" s="5" t="s">
        <v>1122</v>
      </c>
      <c r="S325" s="3" t="s">
        <v>941</v>
      </c>
    </row>
    <row r="326" spans="1:19" ht="16.899999999999999" x14ac:dyDescent="0.4">
      <c r="A326" s="62" t="s">
        <v>1147</v>
      </c>
      <c r="B326" s="2">
        <v>45720</v>
      </c>
      <c r="C326" s="21" t="s">
        <v>758</v>
      </c>
      <c r="D326" s="3" t="s">
        <v>976</v>
      </c>
      <c r="E326" s="2">
        <v>45729</v>
      </c>
      <c r="F326" s="3" t="s">
        <v>525</v>
      </c>
      <c r="G326" s="3" t="s">
        <v>1134</v>
      </c>
      <c r="H326" s="32" t="s">
        <v>1124</v>
      </c>
      <c r="I326" s="3" t="s">
        <v>408</v>
      </c>
      <c r="J326" s="1" t="s">
        <v>677</v>
      </c>
      <c r="K326" s="4" t="s">
        <v>977</v>
      </c>
      <c r="L326" s="58" t="s">
        <v>1161</v>
      </c>
      <c r="M326" s="4" t="s">
        <v>1156</v>
      </c>
      <c r="N326" s="58" t="s">
        <v>1123</v>
      </c>
      <c r="O326" s="5">
        <v>12</v>
      </c>
      <c r="P326" s="5">
        <v>500</v>
      </c>
      <c r="Q326" s="5">
        <v>6000</v>
      </c>
      <c r="R326" s="5" t="s">
        <v>1145</v>
      </c>
      <c r="S326" s="3" t="s">
        <v>978</v>
      </c>
    </row>
    <row r="327" spans="1:19" ht="16.899999999999999" x14ac:dyDescent="0.4">
      <c r="A327" s="62" t="s">
        <v>1147</v>
      </c>
      <c r="B327" s="2">
        <v>45730</v>
      </c>
      <c r="C327" s="40" t="s">
        <v>758</v>
      </c>
      <c r="D327" s="3" t="s">
        <v>945</v>
      </c>
      <c r="E327" s="2">
        <v>45808</v>
      </c>
      <c r="F327" s="3" t="s">
        <v>525</v>
      </c>
      <c r="G327" s="3" t="s">
        <v>1134</v>
      </c>
      <c r="H327" s="32" t="s">
        <v>1124</v>
      </c>
      <c r="I327" s="3" t="s">
        <v>504</v>
      </c>
      <c r="J327" s="1" t="s">
        <v>834</v>
      </c>
      <c r="K327" s="4" t="s">
        <v>946</v>
      </c>
      <c r="L327" s="58" t="s">
        <v>1161</v>
      </c>
      <c r="M327" s="4" t="s">
        <v>1156</v>
      </c>
      <c r="N327" s="58" t="s">
        <v>1123</v>
      </c>
      <c r="O327" s="5">
        <v>12</v>
      </c>
      <c r="P327" s="5">
        <v>4000</v>
      </c>
      <c r="Q327" s="5">
        <v>48000</v>
      </c>
      <c r="R327" s="5" t="s">
        <v>1145</v>
      </c>
      <c r="S327" s="3" t="s">
        <v>892</v>
      </c>
    </row>
    <row r="328" spans="1:19" ht="16.899999999999999" x14ac:dyDescent="0.4">
      <c r="A328" s="62" t="s">
        <v>1147</v>
      </c>
      <c r="B328" s="2">
        <v>45730</v>
      </c>
      <c r="C328" s="1" t="s">
        <v>29</v>
      </c>
      <c r="D328" s="3" t="s">
        <v>947</v>
      </c>
      <c r="E328" s="37">
        <v>45800</v>
      </c>
      <c r="F328" s="3" t="s">
        <v>471</v>
      </c>
      <c r="G328" s="3" t="s">
        <v>1138</v>
      </c>
      <c r="H328" s="32" t="s">
        <v>1124</v>
      </c>
      <c r="I328" s="8" t="s">
        <v>948</v>
      </c>
      <c r="J328" s="1" t="s">
        <v>64</v>
      </c>
      <c r="K328" s="4" t="s">
        <v>889</v>
      </c>
      <c r="L328" s="58" t="s">
        <v>1160</v>
      </c>
      <c r="M328" s="4" t="s">
        <v>1157</v>
      </c>
      <c r="N328" s="58" t="s">
        <v>1123</v>
      </c>
      <c r="O328" s="5">
        <v>14.5</v>
      </c>
      <c r="P328" s="36">
        <v>3500</v>
      </c>
      <c r="Q328" s="36">
        <v>50750</v>
      </c>
      <c r="R328" s="5" t="s">
        <v>1122</v>
      </c>
      <c r="S328" s="3" t="s">
        <v>890</v>
      </c>
    </row>
    <row r="329" spans="1:19" ht="16.899999999999999" x14ac:dyDescent="0.4">
      <c r="A329" s="62" t="s">
        <v>1147</v>
      </c>
      <c r="B329" s="2">
        <v>45730</v>
      </c>
      <c r="C329" s="1" t="s">
        <v>29</v>
      </c>
      <c r="D329" s="3" t="s">
        <v>949</v>
      </c>
      <c r="E329" s="37">
        <v>45800</v>
      </c>
      <c r="F329" s="3" t="s">
        <v>471</v>
      </c>
      <c r="G329" s="3" t="s">
        <v>1138</v>
      </c>
      <c r="H329" s="32" t="s">
        <v>1124</v>
      </c>
      <c r="I329" s="8" t="s">
        <v>487</v>
      </c>
      <c r="J329" s="1" t="s">
        <v>951</v>
      </c>
      <c r="K329" s="4" t="s">
        <v>950</v>
      </c>
      <c r="L329" s="58" t="s">
        <v>1160</v>
      </c>
      <c r="M329" s="4" t="s">
        <v>1157</v>
      </c>
      <c r="N329" s="58" t="s">
        <v>1123</v>
      </c>
      <c r="O329" s="5">
        <v>9.5</v>
      </c>
      <c r="P329" s="36">
        <v>100</v>
      </c>
      <c r="Q329" s="36">
        <v>950</v>
      </c>
      <c r="R329" s="5" t="s">
        <v>1122</v>
      </c>
      <c r="S329" s="3" t="s">
        <v>952</v>
      </c>
    </row>
    <row r="330" spans="1:19" ht="16.899999999999999" x14ac:dyDescent="0.4">
      <c r="A330" s="62" t="s">
        <v>1147</v>
      </c>
      <c r="B330" s="2">
        <v>45733</v>
      </c>
      <c r="C330" s="1" t="s">
        <v>29</v>
      </c>
      <c r="D330" s="3" t="s">
        <v>953</v>
      </c>
      <c r="E330" s="39">
        <v>45858</v>
      </c>
      <c r="F330" s="3" t="s">
        <v>471</v>
      </c>
      <c r="G330" s="3" t="s">
        <v>1138</v>
      </c>
      <c r="H330" s="32" t="s">
        <v>1124</v>
      </c>
      <c r="I330" s="3" t="s">
        <v>504</v>
      </c>
      <c r="J330" s="1" t="s">
        <v>64</v>
      </c>
      <c r="K330" s="4" t="s">
        <v>954</v>
      </c>
      <c r="L330" s="58" t="s">
        <v>1161</v>
      </c>
      <c r="M330" s="4" t="s">
        <v>1157</v>
      </c>
      <c r="N330" s="58" t="s">
        <v>1123</v>
      </c>
      <c r="O330" s="5">
        <v>11.5</v>
      </c>
      <c r="P330" s="38">
        <v>3230</v>
      </c>
      <c r="Q330" s="38">
        <v>37145</v>
      </c>
      <c r="R330" s="5" t="s">
        <v>1122</v>
      </c>
      <c r="S330" s="8" t="s">
        <v>955</v>
      </c>
    </row>
    <row r="331" spans="1:19" ht="16.899999999999999" x14ac:dyDescent="0.4">
      <c r="A331" s="62" t="s">
        <v>1147</v>
      </c>
      <c r="B331" s="2">
        <v>45734</v>
      </c>
      <c r="C331" s="1" t="s">
        <v>29</v>
      </c>
      <c r="D331" s="3" t="s">
        <v>956</v>
      </c>
      <c r="E331" s="39">
        <v>45858</v>
      </c>
      <c r="F331" s="3" t="s">
        <v>471</v>
      </c>
      <c r="G331" s="3" t="s">
        <v>1138</v>
      </c>
      <c r="H331" s="32" t="s">
        <v>1124</v>
      </c>
      <c r="I331" s="3" t="s">
        <v>668</v>
      </c>
      <c r="J331" s="1" t="s">
        <v>957</v>
      </c>
      <c r="K331" s="4" t="s">
        <v>669</v>
      </c>
      <c r="L331" s="58" t="s">
        <v>1160</v>
      </c>
      <c r="M331" s="4" t="s">
        <v>1157</v>
      </c>
      <c r="N331" s="58" t="s">
        <v>1123</v>
      </c>
      <c r="O331" s="5">
        <v>19.5</v>
      </c>
      <c r="P331" s="38">
        <v>650</v>
      </c>
      <c r="Q331" s="38">
        <v>12675</v>
      </c>
      <c r="R331" s="5" t="s">
        <v>1122</v>
      </c>
      <c r="S331" s="3" t="s">
        <v>958</v>
      </c>
    </row>
    <row r="332" spans="1:19" ht="16.899999999999999" x14ac:dyDescent="0.4">
      <c r="A332" s="62" t="s">
        <v>1147</v>
      </c>
      <c r="B332" s="2">
        <v>45735</v>
      </c>
      <c r="C332" s="1" t="s">
        <v>959</v>
      </c>
      <c r="D332" s="11" t="s">
        <v>960</v>
      </c>
      <c r="E332" s="2">
        <v>45754</v>
      </c>
      <c r="F332" s="3" t="s">
        <v>471</v>
      </c>
      <c r="G332" s="3" t="s">
        <v>356</v>
      </c>
      <c r="H332" s="32" t="s">
        <v>1124</v>
      </c>
      <c r="I332" s="3" t="s">
        <v>504</v>
      </c>
      <c r="J332" s="1" t="s">
        <v>673</v>
      </c>
      <c r="K332" s="4" t="s">
        <v>409</v>
      </c>
      <c r="L332" s="58" t="s">
        <v>1161</v>
      </c>
      <c r="M332" s="4" t="s">
        <v>1154</v>
      </c>
      <c r="N332" s="58" t="s">
        <v>1123</v>
      </c>
      <c r="O332" s="5">
        <v>14.2</v>
      </c>
      <c r="P332" s="5">
        <v>200</v>
      </c>
      <c r="Q332" s="5">
        <v>2840</v>
      </c>
      <c r="R332" s="5" t="s">
        <v>1145</v>
      </c>
      <c r="S332" s="3" t="s">
        <v>961</v>
      </c>
    </row>
    <row r="333" spans="1:19" ht="16.899999999999999" x14ac:dyDescent="0.4">
      <c r="A333" s="62" t="s">
        <v>1147</v>
      </c>
      <c r="B333" s="2">
        <v>45735</v>
      </c>
      <c r="C333" s="1" t="s">
        <v>962</v>
      </c>
      <c r="D333" s="11" t="s">
        <v>963</v>
      </c>
      <c r="E333" s="2">
        <v>45754</v>
      </c>
      <c r="F333" s="3" t="s">
        <v>533</v>
      </c>
      <c r="G333" s="3" t="s">
        <v>356</v>
      </c>
      <c r="H333" s="32" t="s">
        <v>1124</v>
      </c>
      <c r="I333" s="3" t="s">
        <v>849</v>
      </c>
      <c r="J333" s="1" t="s">
        <v>83</v>
      </c>
      <c r="K333" s="4" t="s">
        <v>82</v>
      </c>
      <c r="L333" s="58" t="s">
        <v>1161</v>
      </c>
      <c r="M333" s="4" t="s">
        <v>1154</v>
      </c>
      <c r="N333" s="58" t="s">
        <v>1123</v>
      </c>
      <c r="O333" s="5">
        <v>14.2</v>
      </c>
      <c r="P333" s="5">
        <v>200</v>
      </c>
      <c r="Q333" s="5">
        <v>2840</v>
      </c>
      <c r="R333" s="5" t="s">
        <v>1145</v>
      </c>
      <c r="S333" s="3" t="s">
        <v>964</v>
      </c>
    </row>
    <row r="334" spans="1:19" ht="16.899999999999999" x14ac:dyDescent="0.4">
      <c r="A334" s="62" t="s">
        <v>1147</v>
      </c>
      <c r="B334" s="2">
        <v>45735</v>
      </c>
      <c r="C334" s="1" t="s">
        <v>959</v>
      </c>
      <c r="D334" s="11" t="s">
        <v>965</v>
      </c>
      <c r="E334" s="2">
        <v>45754</v>
      </c>
      <c r="F334" s="3" t="s">
        <v>471</v>
      </c>
      <c r="G334" s="3" t="s">
        <v>356</v>
      </c>
      <c r="H334" s="32" t="s">
        <v>1124</v>
      </c>
      <c r="I334" s="3" t="s">
        <v>472</v>
      </c>
      <c r="J334" s="1" t="s">
        <v>64</v>
      </c>
      <c r="K334" s="4" t="s">
        <v>889</v>
      </c>
      <c r="L334" s="58" t="s">
        <v>1161</v>
      </c>
      <c r="M334" s="4" t="s">
        <v>1154</v>
      </c>
      <c r="N334" s="58" t="s">
        <v>1123</v>
      </c>
      <c r="O334" s="5">
        <v>16.7</v>
      </c>
      <c r="P334" s="5">
        <v>10</v>
      </c>
      <c r="Q334" s="5">
        <v>167</v>
      </c>
      <c r="R334" s="5" t="s">
        <v>1145</v>
      </c>
      <c r="S334" s="3" t="s">
        <v>966</v>
      </c>
    </row>
    <row r="335" spans="1:19" ht="16.899999999999999" x14ac:dyDescent="0.4">
      <c r="A335" s="62" t="s">
        <v>1147</v>
      </c>
      <c r="B335" s="42">
        <v>45742</v>
      </c>
      <c r="C335" s="41" t="s">
        <v>967</v>
      </c>
      <c r="D335" s="43" t="s">
        <v>968</v>
      </c>
      <c r="E335" s="42">
        <v>45754</v>
      </c>
      <c r="F335" s="44" t="s">
        <v>593</v>
      </c>
      <c r="G335" s="3" t="s">
        <v>356</v>
      </c>
      <c r="H335" s="32" t="s">
        <v>1124</v>
      </c>
      <c r="I335" s="44" t="s">
        <v>750</v>
      </c>
      <c r="J335" s="41" t="s">
        <v>970</v>
      </c>
      <c r="K335" s="45" t="s">
        <v>969</v>
      </c>
      <c r="L335" s="58" t="s">
        <v>1161</v>
      </c>
      <c r="M335" s="4" t="s">
        <v>1153</v>
      </c>
      <c r="N335" s="58" t="s">
        <v>1123</v>
      </c>
      <c r="O335" s="46">
        <v>17.600000000000001</v>
      </c>
      <c r="P335" s="46">
        <v>1</v>
      </c>
      <c r="Q335" s="46">
        <v>17.600000000000001</v>
      </c>
      <c r="R335" s="5" t="s">
        <v>1122</v>
      </c>
      <c r="S335" s="44" t="s">
        <v>971</v>
      </c>
    </row>
    <row r="336" spans="1:19" ht="16.899999999999999" x14ac:dyDescent="0.4">
      <c r="A336" s="62" t="s">
        <v>1147</v>
      </c>
      <c r="B336" s="2">
        <v>45742</v>
      </c>
      <c r="C336" s="21" t="s">
        <v>523</v>
      </c>
      <c r="D336" s="3" t="s">
        <v>984</v>
      </c>
      <c r="E336" s="2">
        <v>45763</v>
      </c>
      <c r="F336" s="3" t="s">
        <v>525</v>
      </c>
      <c r="G336" s="3" t="s">
        <v>1126</v>
      </c>
      <c r="H336" s="32" t="s">
        <v>1124</v>
      </c>
      <c r="I336" s="3" t="s">
        <v>526</v>
      </c>
      <c r="J336" s="1" t="s">
        <v>527</v>
      </c>
      <c r="K336" s="4" t="s">
        <v>527</v>
      </c>
      <c r="L336" s="58" t="s">
        <v>1160</v>
      </c>
      <c r="M336" s="58" t="s">
        <v>1150</v>
      </c>
      <c r="N336" s="58" t="s">
        <v>1123</v>
      </c>
      <c r="O336" s="5">
        <v>6</v>
      </c>
      <c r="P336" s="5">
        <v>500</v>
      </c>
      <c r="Q336" s="5">
        <v>3000</v>
      </c>
      <c r="R336" s="5" t="s">
        <v>1145</v>
      </c>
      <c r="S336" s="3" t="s">
        <v>985</v>
      </c>
    </row>
    <row r="337" spans="1:19" ht="16.899999999999999" x14ac:dyDescent="0.4">
      <c r="A337" s="62" t="s">
        <v>1147</v>
      </c>
      <c r="B337" s="2">
        <v>45743</v>
      </c>
      <c r="C337" s="1" t="s">
        <v>29</v>
      </c>
      <c r="D337" s="3" t="s">
        <v>972</v>
      </c>
      <c r="E337" s="2">
        <v>45823</v>
      </c>
      <c r="F337" s="3" t="s">
        <v>471</v>
      </c>
      <c r="G337" s="3" t="s">
        <v>1138</v>
      </c>
      <c r="H337" s="32" t="s">
        <v>1124</v>
      </c>
      <c r="I337" s="3" t="s">
        <v>408</v>
      </c>
      <c r="J337" s="1" t="s">
        <v>454</v>
      </c>
      <c r="K337" s="4" t="s">
        <v>453</v>
      </c>
      <c r="L337" s="58" t="s">
        <v>1161</v>
      </c>
      <c r="M337" s="4" t="s">
        <v>1157</v>
      </c>
      <c r="N337" s="58" t="s">
        <v>1123</v>
      </c>
      <c r="O337" s="5">
        <v>12.3</v>
      </c>
      <c r="P337" s="5">
        <v>1400</v>
      </c>
      <c r="Q337" s="5">
        <v>17220</v>
      </c>
      <c r="R337" s="5" t="s">
        <v>1122</v>
      </c>
      <c r="S337" s="8" t="s">
        <v>973</v>
      </c>
    </row>
    <row r="338" spans="1:19" ht="16.899999999999999" x14ac:dyDescent="0.4">
      <c r="A338" s="62" t="s">
        <v>1147</v>
      </c>
      <c r="B338" s="2">
        <v>45744</v>
      </c>
      <c r="C338" s="1" t="s">
        <v>860</v>
      </c>
      <c r="D338" s="3" t="s">
        <v>974</v>
      </c>
      <c r="E338" s="2">
        <v>45744</v>
      </c>
      <c r="F338" s="3" t="s">
        <v>593</v>
      </c>
      <c r="G338" s="3" t="s">
        <v>356</v>
      </c>
      <c r="H338" s="32" t="s">
        <v>1124</v>
      </c>
      <c r="I338" s="3" t="s">
        <v>594</v>
      </c>
      <c r="J338" s="1" t="s">
        <v>311</v>
      </c>
      <c r="L338" s="58" t="s">
        <v>1161</v>
      </c>
      <c r="M338" s="4" t="s">
        <v>1151</v>
      </c>
      <c r="N338" s="58" t="s">
        <v>1123</v>
      </c>
      <c r="O338" s="5">
        <v>36.799999999999997</v>
      </c>
      <c r="P338" s="5">
        <v>500</v>
      </c>
      <c r="Q338" s="5">
        <v>18400</v>
      </c>
      <c r="R338" s="5" t="s">
        <v>1146</v>
      </c>
      <c r="S338" s="3" t="s">
        <v>975</v>
      </c>
    </row>
    <row r="339" spans="1:19" ht="16.899999999999999" x14ac:dyDescent="0.4">
      <c r="A339" s="62" t="s">
        <v>1147</v>
      </c>
      <c r="B339" s="2">
        <v>45749</v>
      </c>
      <c r="C339" s="1" t="s">
        <v>55</v>
      </c>
      <c r="D339" s="3" t="s">
        <v>979</v>
      </c>
      <c r="E339" s="2">
        <v>45751</v>
      </c>
      <c r="F339" s="3" t="s">
        <v>471</v>
      </c>
      <c r="G339" s="3" t="s">
        <v>356</v>
      </c>
      <c r="H339" s="32" t="s">
        <v>1124</v>
      </c>
      <c r="I339" s="3" t="s">
        <v>903</v>
      </c>
      <c r="J339" s="1" t="s">
        <v>980</v>
      </c>
      <c r="L339" s="58" t="s">
        <v>1160</v>
      </c>
      <c r="M339" s="58" t="s">
        <v>1150</v>
      </c>
      <c r="N339" s="58" t="s">
        <v>1123</v>
      </c>
      <c r="O339" s="5">
        <v>1.4</v>
      </c>
      <c r="P339" s="5">
        <v>65000</v>
      </c>
      <c r="Q339" s="5">
        <v>91000</v>
      </c>
      <c r="R339" s="5" t="s">
        <v>1146</v>
      </c>
      <c r="S339" s="3" t="s">
        <v>981</v>
      </c>
    </row>
    <row r="340" spans="1:19" ht="16.899999999999999" x14ac:dyDescent="0.4">
      <c r="A340" s="62" t="s">
        <v>1147</v>
      </c>
      <c r="B340" s="2">
        <v>45749</v>
      </c>
      <c r="C340" s="21" t="s">
        <v>55</v>
      </c>
      <c r="D340" s="3" t="s">
        <v>998</v>
      </c>
      <c r="E340" s="2">
        <v>45770</v>
      </c>
      <c r="F340" s="3" t="s">
        <v>503</v>
      </c>
      <c r="G340" s="3" t="s">
        <v>356</v>
      </c>
      <c r="H340" s="32" t="s">
        <v>1124</v>
      </c>
      <c r="I340" s="3" t="s">
        <v>903</v>
      </c>
      <c r="J340" s="1" t="s">
        <v>980</v>
      </c>
      <c r="L340" s="58" t="s">
        <v>1160</v>
      </c>
      <c r="M340" s="58" t="s">
        <v>1150</v>
      </c>
      <c r="N340" s="58" t="s">
        <v>1123</v>
      </c>
      <c r="O340" s="5">
        <v>1.4</v>
      </c>
      <c r="P340" s="5">
        <v>32000</v>
      </c>
      <c r="Q340" s="5">
        <v>44800</v>
      </c>
      <c r="R340" s="5" t="s">
        <v>1146</v>
      </c>
      <c r="S340" s="3" t="s">
        <v>595</v>
      </c>
    </row>
    <row r="341" spans="1:19" ht="16.899999999999999" x14ac:dyDescent="0.4">
      <c r="A341" s="62" t="s">
        <v>1147</v>
      </c>
      <c r="B341" s="2">
        <v>45751</v>
      </c>
      <c r="C341" s="1" t="s">
        <v>29</v>
      </c>
      <c r="D341" s="3" t="s">
        <v>982</v>
      </c>
      <c r="E341" s="2">
        <v>45777</v>
      </c>
      <c r="F341" s="3" t="s">
        <v>471</v>
      </c>
      <c r="G341" s="3" t="s">
        <v>1138</v>
      </c>
      <c r="H341" s="32" t="s">
        <v>1124</v>
      </c>
      <c r="I341" s="3" t="s">
        <v>504</v>
      </c>
      <c r="J341" s="1" t="s">
        <v>673</v>
      </c>
      <c r="K341" s="4" t="s">
        <v>409</v>
      </c>
      <c r="L341" s="58" t="s">
        <v>1161</v>
      </c>
      <c r="M341" s="4" t="s">
        <v>1157</v>
      </c>
      <c r="N341" s="58" t="s">
        <v>1123</v>
      </c>
      <c r="O341" s="5">
        <v>10.9</v>
      </c>
      <c r="P341" s="5">
        <v>7000</v>
      </c>
      <c r="Q341" s="5">
        <v>76300</v>
      </c>
      <c r="R341" s="5" t="s">
        <v>1122</v>
      </c>
      <c r="S341" s="8" t="s">
        <v>983</v>
      </c>
    </row>
    <row r="342" spans="1:19" ht="16.899999999999999" x14ac:dyDescent="0.4">
      <c r="A342" s="62" t="s">
        <v>1147</v>
      </c>
      <c r="B342" s="2">
        <v>45762</v>
      </c>
      <c r="C342" s="21" t="s">
        <v>758</v>
      </c>
      <c r="D342" s="3" t="s">
        <v>986</v>
      </c>
      <c r="E342" s="2">
        <v>45787</v>
      </c>
      <c r="F342" s="3" t="s">
        <v>525</v>
      </c>
      <c r="G342" s="3" t="s">
        <v>1134</v>
      </c>
      <c r="H342" s="32" t="s">
        <v>1124</v>
      </c>
      <c r="I342" s="3" t="s">
        <v>504</v>
      </c>
      <c r="J342" s="1" t="s">
        <v>987</v>
      </c>
      <c r="K342" s="4" t="s">
        <v>946</v>
      </c>
      <c r="L342" s="58" t="s">
        <v>1161</v>
      </c>
      <c r="M342" s="4" t="s">
        <v>1156</v>
      </c>
      <c r="N342" s="58" t="s">
        <v>1123</v>
      </c>
      <c r="O342" s="5">
        <v>12</v>
      </c>
      <c r="P342" s="5">
        <v>1500</v>
      </c>
      <c r="Q342" s="5">
        <v>18000</v>
      </c>
      <c r="R342" s="5" t="s">
        <v>1145</v>
      </c>
      <c r="S342" s="3" t="s">
        <v>674</v>
      </c>
    </row>
    <row r="343" spans="1:19" ht="16.899999999999999" x14ac:dyDescent="0.4">
      <c r="A343" s="62" t="s">
        <v>1147</v>
      </c>
      <c r="B343" s="2">
        <v>45762</v>
      </c>
      <c r="C343" s="21" t="s">
        <v>758</v>
      </c>
      <c r="D343" s="3" t="s">
        <v>988</v>
      </c>
      <c r="E343" s="2">
        <v>45787</v>
      </c>
      <c r="F343" s="3" t="s">
        <v>525</v>
      </c>
      <c r="G343" s="3" t="s">
        <v>1134</v>
      </c>
      <c r="H343" s="32" t="s">
        <v>1124</v>
      </c>
      <c r="I343" s="3" t="s">
        <v>504</v>
      </c>
      <c r="J343" s="1" t="s">
        <v>823</v>
      </c>
      <c r="K343" s="4" t="s">
        <v>977</v>
      </c>
      <c r="L343" s="58" t="s">
        <v>1161</v>
      </c>
      <c r="M343" s="4" t="s">
        <v>1156</v>
      </c>
      <c r="N343" s="58" t="s">
        <v>1123</v>
      </c>
      <c r="O343" s="5">
        <v>12</v>
      </c>
      <c r="P343" s="5">
        <v>1500</v>
      </c>
      <c r="Q343" s="5">
        <v>18000</v>
      </c>
      <c r="R343" s="5" t="s">
        <v>1145</v>
      </c>
      <c r="S343" s="3" t="s">
        <v>989</v>
      </c>
    </row>
    <row r="344" spans="1:19" ht="16.899999999999999" x14ac:dyDescent="0.4">
      <c r="A344" s="62" t="s">
        <v>1147</v>
      </c>
      <c r="B344" s="2">
        <v>45762</v>
      </c>
      <c r="C344" s="21" t="s">
        <v>758</v>
      </c>
      <c r="D344" s="3" t="s">
        <v>990</v>
      </c>
      <c r="E344" s="2">
        <v>45787</v>
      </c>
      <c r="F344" s="3" t="s">
        <v>525</v>
      </c>
      <c r="G344" s="3" t="s">
        <v>1134</v>
      </c>
      <c r="H344" s="32" t="s">
        <v>1124</v>
      </c>
      <c r="I344" s="3" t="s">
        <v>504</v>
      </c>
      <c r="J344" s="1" t="s">
        <v>673</v>
      </c>
      <c r="K344" s="4" t="s">
        <v>409</v>
      </c>
      <c r="L344" s="58" t="s">
        <v>1161</v>
      </c>
      <c r="M344" s="4" t="s">
        <v>1156</v>
      </c>
      <c r="N344" s="58" t="s">
        <v>1123</v>
      </c>
      <c r="O344" s="5">
        <v>12</v>
      </c>
      <c r="P344" s="5">
        <v>1000</v>
      </c>
      <c r="Q344" s="5">
        <v>12000</v>
      </c>
      <c r="R344" s="5" t="s">
        <v>1145</v>
      </c>
      <c r="S344" s="3" t="s">
        <v>991</v>
      </c>
    </row>
    <row r="345" spans="1:19" ht="16.899999999999999" x14ac:dyDescent="0.4">
      <c r="A345" s="62" t="s">
        <v>1147</v>
      </c>
      <c r="B345" s="2">
        <v>45764</v>
      </c>
      <c r="C345" s="21" t="s">
        <v>108</v>
      </c>
      <c r="D345" s="3" t="s">
        <v>992</v>
      </c>
      <c r="E345" s="2">
        <v>45802</v>
      </c>
      <c r="F345" s="3" t="s">
        <v>525</v>
      </c>
      <c r="G345" s="3" t="s">
        <v>356</v>
      </c>
      <c r="H345" s="32" t="s">
        <v>1124</v>
      </c>
      <c r="I345" s="3" t="s">
        <v>230</v>
      </c>
      <c r="J345" s="1" t="s">
        <v>698</v>
      </c>
      <c r="K345" s="4" t="s">
        <v>993</v>
      </c>
      <c r="L345" s="58" t="s">
        <v>1161</v>
      </c>
      <c r="M345" s="4" t="s">
        <v>1151</v>
      </c>
      <c r="N345" s="58" t="s">
        <v>1123</v>
      </c>
      <c r="O345" s="5">
        <v>140</v>
      </c>
      <c r="P345" s="5">
        <v>200</v>
      </c>
      <c r="Q345" s="5">
        <v>28000</v>
      </c>
      <c r="R345" s="5" t="s">
        <v>1146</v>
      </c>
      <c r="S345" s="3" t="s">
        <v>994</v>
      </c>
    </row>
    <row r="346" spans="1:19" ht="16.899999999999999" x14ac:dyDescent="0.4">
      <c r="A346" s="62" t="s">
        <v>1147</v>
      </c>
      <c r="B346" s="2">
        <v>45764</v>
      </c>
      <c r="C346" s="21" t="s">
        <v>108</v>
      </c>
      <c r="D346" s="3" t="s">
        <v>995</v>
      </c>
      <c r="E346" s="2">
        <v>45802</v>
      </c>
      <c r="F346" s="3" t="s">
        <v>525</v>
      </c>
      <c r="G346" s="3" t="s">
        <v>356</v>
      </c>
      <c r="H346" s="32" t="s">
        <v>1124</v>
      </c>
      <c r="I346" s="3" t="s">
        <v>996</v>
      </c>
      <c r="J346" s="1" t="s">
        <v>698</v>
      </c>
      <c r="K346" s="4" t="s">
        <v>993</v>
      </c>
      <c r="L346" s="58" t="s">
        <v>1161</v>
      </c>
      <c r="M346" s="4" t="s">
        <v>1151</v>
      </c>
      <c r="N346" s="58" t="s">
        <v>1123</v>
      </c>
      <c r="O346" s="5">
        <v>140</v>
      </c>
      <c r="P346" s="5">
        <v>200</v>
      </c>
      <c r="Q346" s="5">
        <v>28000</v>
      </c>
      <c r="R346" s="5" t="s">
        <v>1146</v>
      </c>
      <c r="S346" s="3" t="s">
        <v>997</v>
      </c>
    </row>
    <row r="347" spans="1:19" ht="16.899999999999999" x14ac:dyDescent="0.4">
      <c r="A347" s="62" t="s">
        <v>1147</v>
      </c>
      <c r="B347" s="2">
        <v>45772</v>
      </c>
      <c r="C347" s="21" t="s">
        <v>999</v>
      </c>
      <c r="D347" s="3" t="s">
        <v>1000</v>
      </c>
      <c r="E347" s="2">
        <v>45858</v>
      </c>
      <c r="F347" s="3" t="s">
        <v>1140</v>
      </c>
      <c r="G347" s="3" t="s">
        <v>356</v>
      </c>
      <c r="H347" s="32" t="s">
        <v>1124</v>
      </c>
      <c r="I347" s="3" t="s">
        <v>1001</v>
      </c>
      <c r="J347" s="1" t="s">
        <v>698</v>
      </c>
      <c r="K347" s="4">
        <v>1045518905</v>
      </c>
      <c r="L347" s="58" t="s">
        <v>1161</v>
      </c>
      <c r="M347" s="4" t="s">
        <v>1151</v>
      </c>
      <c r="N347" s="58" t="s">
        <v>1123</v>
      </c>
      <c r="O347" s="5">
        <v>128</v>
      </c>
      <c r="P347" s="5">
        <v>3650</v>
      </c>
      <c r="Q347" s="5">
        <v>467200</v>
      </c>
      <c r="R347" s="5" t="s">
        <v>1146</v>
      </c>
      <c r="S347" s="3" t="s">
        <v>1002</v>
      </c>
    </row>
    <row r="348" spans="1:19" ht="16.899999999999999" x14ac:dyDescent="0.4">
      <c r="A348" s="62" t="s">
        <v>1147</v>
      </c>
      <c r="B348" s="2">
        <v>45776</v>
      </c>
      <c r="C348" s="21" t="s">
        <v>1078</v>
      </c>
      <c r="D348" s="3" t="s">
        <v>1079</v>
      </c>
      <c r="E348" s="37">
        <v>45945</v>
      </c>
      <c r="F348" s="3" t="s">
        <v>503</v>
      </c>
      <c r="G348" s="3" t="s">
        <v>356</v>
      </c>
      <c r="H348" s="32" t="s">
        <v>1124</v>
      </c>
      <c r="I348" s="3" t="s">
        <v>504</v>
      </c>
      <c r="J348" s="1" t="s">
        <v>823</v>
      </c>
      <c r="K348" s="4" t="s">
        <v>466</v>
      </c>
      <c r="L348" s="58" t="s">
        <v>1161</v>
      </c>
      <c r="M348" s="4" t="s">
        <v>1151</v>
      </c>
      <c r="N348" s="58" t="s">
        <v>1123</v>
      </c>
      <c r="O348" s="5">
        <v>80</v>
      </c>
      <c r="P348" s="36">
        <v>4000</v>
      </c>
      <c r="Q348" s="36">
        <v>320000</v>
      </c>
      <c r="R348" s="36" t="s">
        <v>1146</v>
      </c>
      <c r="S348" s="59" t="s">
        <v>1077</v>
      </c>
    </row>
    <row r="349" spans="1:19" ht="16.899999999999999" x14ac:dyDescent="0.4">
      <c r="A349" s="62" t="s">
        <v>1147</v>
      </c>
      <c r="B349" s="2">
        <v>45782</v>
      </c>
      <c r="C349" s="21" t="s">
        <v>469</v>
      </c>
      <c r="D349" s="3" t="s">
        <v>1003</v>
      </c>
      <c r="E349" s="2">
        <v>45869</v>
      </c>
      <c r="F349" s="3" t="s">
        <v>471</v>
      </c>
      <c r="G349" s="3" t="s">
        <v>356</v>
      </c>
      <c r="H349" s="32" t="s">
        <v>1124</v>
      </c>
      <c r="I349" s="47" t="s">
        <v>62</v>
      </c>
      <c r="J349" s="1" t="s">
        <v>621</v>
      </c>
      <c r="K349" s="4">
        <v>432003</v>
      </c>
      <c r="L349" s="58" t="s">
        <v>1161</v>
      </c>
      <c r="M349" s="4" t="s">
        <v>1153</v>
      </c>
      <c r="N349" s="58" t="s">
        <v>1123</v>
      </c>
      <c r="O349" s="5">
        <v>16.600000000000001</v>
      </c>
      <c r="P349" s="5">
        <v>200</v>
      </c>
      <c r="Q349" s="5">
        <v>3320</v>
      </c>
      <c r="R349" s="5" t="s">
        <v>1122</v>
      </c>
      <c r="S349" s="3" t="s">
        <v>1004</v>
      </c>
    </row>
    <row r="350" spans="1:19" ht="16.899999999999999" x14ac:dyDescent="0.4">
      <c r="A350" s="62" t="s">
        <v>1147</v>
      </c>
      <c r="B350" s="2">
        <v>45785</v>
      </c>
      <c r="C350" s="21" t="s">
        <v>29</v>
      </c>
      <c r="D350" s="3" t="s">
        <v>1005</v>
      </c>
      <c r="E350" s="37">
        <v>45895</v>
      </c>
      <c r="F350" s="3" t="s">
        <v>471</v>
      </c>
      <c r="G350" s="3" t="s">
        <v>1138</v>
      </c>
      <c r="H350" s="32" t="s">
        <v>1124</v>
      </c>
      <c r="I350" s="3" t="s">
        <v>408</v>
      </c>
      <c r="J350" s="1" t="s">
        <v>673</v>
      </c>
      <c r="K350" s="4" t="s">
        <v>409</v>
      </c>
      <c r="L350" s="58" t="s">
        <v>1161</v>
      </c>
      <c r="M350" s="4" t="s">
        <v>1157</v>
      </c>
      <c r="N350" s="58" t="s">
        <v>1123</v>
      </c>
      <c r="O350" s="5">
        <v>10.9</v>
      </c>
      <c r="P350" s="36">
        <v>6360</v>
      </c>
      <c r="Q350" s="36">
        <v>69324</v>
      </c>
      <c r="R350" s="5" t="s">
        <v>1122</v>
      </c>
      <c r="S350" s="12" t="s">
        <v>1006</v>
      </c>
    </row>
    <row r="351" spans="1:19" ht="16.899999999999999" x14ac:dyDescent="0.4">
      <c r="A351" s="62" t="s">
        <v>1147</v>
      </c>
      <c r="B351" s="2">
        <v>45786</v>
      </c>
      <c r="C351" s="21" t="s">
        <v>29</v>
      </c>
      <c r="D351" s="3" t="s">
        <v>1007</v>
      </c>
      <c r="E351" s="37">
        <v>45907</v>
      </c>
      <c r="F351" s="3" t="s">
        <v>471</v>
      </c>
      <c r="G351" s="3" t="s">
        <v>1138</v>
      </c>
      <c r="H351" s="32" t="s">
        <v>1124</v>
      </c>
      <c r="I351" s="3" t="s">
        <v>504</v>
      </c>
      <c r="J351" s="1" t="s">
        <v>823</v>
      </c>
      <c r="K351" s="4" t="s">
        <v>466</v>
      </c>
      <c r="L351" s="58" t="s">
        <v>1161</v>
      </c>
      <c r="M351" s="4" t="s">
        <v>1157</v>
      </c>
      <c r="N351" s="58" t="s">
        <v>1123</v>
      </c>
      <c r="O351" s="5">
        <v>10.9</v>
      </c>
      <c r="P351" s="36">
        <v>2400</v>
      </c>
      <c r="Q351" s="36">
        <v>26160</v>
      </c>
      <c r="R351" s="5" t="s">
        <v>1122</v>
      </c>
      <c r="S351" s="3" t="s">
        <v>1008</v>
      </c>
    </row>
    <row r="352" spans="1:19" ht="16.899999999999999" x14ac:dyDescent="0.4">
      <c r="A352" s="62" t="s">
        <v>1147</v>
      </c>
      <c r="B352" s="2">
        <v>45789</v>
      </c>
      <c r="C352" s="21" t="s">
        <v>523</v>
      </c>
      <c r="D352" s="3" t="s">
        <v>1009</v>
      </c>
      <c r="E352" s="2">
        <v>45815</v>
      </c>
      <c r="F352" s="3" t="s">
        <v>525</v>
      </c>
      <c r="G352" s="3" t="s">
        <v>1126</v>
      </c>
      <c r="H352" s="32" t="s">
        <v>1124</v>
      </c>
      <c r="I352" s="3" t="s">
        <v>526</v>
      </c>
      <c r="J352" s="1" t="s">
        <v>527</v>
      </c>
      <c r="L352" s="58" t="s">
        <v>1160</v>
      </c>
      <c r="M352" s="58" t="s">
        <v>1150</v>
      </c>
      <c r="N352" s="58" t="s">
        <v>1123</v>
      </c>
      <c r="O352" s="5">
        <v>6</v>
      </c>
      <c r="P352" s="5">
        <v>600</v>
      </c>
      <c r="Q352" s="5">
        <v>3600</v>
      </c>
      <c r="R352" s="36" t="s">
        <v>1145</v>
      </c>
      <c r="S352" s="3" t="s">
        <v>1010</v>
      </c>
    </row>
    <row r="353" spans="1:19" ht="16.899999999999999" x14ac:dyDescent="0.4">
      <c r="A353" s="62" t="s">
        <v>1147</v>
      </c>
      <c r="B353" s="2">
        <v>45793</v>
      </c>
      <c r="C353" s="1" t="s">
        <v>1011</v>
      </c>
      <c r="D353" s="3" t="s">
        <v>1012</v>
      </c>
      <c r="E353" s="2">
        <v>45900</v>
      </c>
      <c r="F353" s="3" t="s">
        <v>1140</v>
      </c>
      <c r="G353" s="3" t="s">
        <v>356</v>
      </c>
      <c r="H353" s="32" t="s">
        <v>1144</v>
      </c>
      <c r="I353" s="3" t="s">
        <v>1013</v>
      </c>
      <c r="J353" s="1" t="s">
        <v>1015</v>
      </c>
      <c r="K353" s="4" t="s">
        <v>1014</v>
      </c>
      <c r="L353" s="58" t="s">
        <v>1161</v>
      </c>
      <c r="M353" s="4" t="s">
        <v>1151</v>
      </c>
      <c r="N353" s="58" t="s">
        <v>1123</v>
      </c>
      <c r="O353" s="5">
        <v>120</v>
      </c>
      <c r="P353" s="5">
        <v>4000</v>
      </c>
      <c r="Q353" s="5">
        <v>480000</v>
      </c>
      <c r="R353" s="5" t="s">
        <v>1146</v>
      </c>
      <c r="S353" s="3" t="s">
        <v>1016</v>
      </c>
    </row>
    <row r="354" spans="1:19" ht="16.899999999999999" x14ac:dyDescent="0.4">
      <c r="A354" s="62" t="s">
        <v>1147</v>
      </c>
      <c r="B354" s="2">
        <v>45798</v>
      </c>
      <c r="C354" s="1" t="s">
        <v>700</v>
      </c>
      <c r="D354" s="3" t="s">
        <v>1017</v>
      </c>
      <c r="E354" s="2">
        <v>45800</v>
      </c>
      <c r="F354" s="3" t="s">
        <v>593</v>
      </c>
      <c r="G354" s="3" t="s">
        <v>356</v>
      </c>
      <c r="H354" s="32" t="s">
        <v>1124</v>
      </c>
      <c r="I354" s="3" t="s">
        <v>812</v>
      </c>
      <c r="J354" s="1" t="s">
        <v>1018</v>
      </c>
      <c r="L354" s="58" t="s">
        <v>1160</v>
      </c>
      <c r="M354" s="58" t="s">
        <v>1150</v>
      </c>
      <c r="N354" s="58" t="s">
        <v>1123</v>
      </c>
      <c r="O354" s="5">
        <v>1.5</v>
      </c>
      <c r="P354" s="5">
        <v>9200</v>
      </c>
      <c r="Q354" s="5">
        <v>13800</v>
      </c>
      <c r="R354" s="5" t="s">
        <v>1146</v>
      </c>
      <c r="S354" s="3" t="s">
        <v>1019</v>
      </c>
    </row>
    <row r="355" spans="1:19" ht="16.899999999999999" x14ac:dyDescent="0.4">
      <c r="A355" s="62" t="s">
        <v>1147</v>
      </c>
      <c r="B355" s="2">
        <v>45801</v>
      </c>
      <c r="C355" s="21" t="s">
        <v>1020</v>
      </c>
      <c r="D355" s="3" t="s">
        <v>1021</v>
      </c>
      <c r="E355" s="37">
        <v>45911</v>
      </c>
      <c r="F355" s="3" t="s">
        <v>525</v>
      </c>
      <c r="G355" s="3" t="s">
        <v>1127</v>
      </c>
      <c r="H355" s="32" t="s">
        <v>1124</v>
      </c>
      <c r="I355" s="3" t="s">
        <v>62</v>
      </c>
      <c r="J355" s="1" t="s">
        <v>1023</v>
      </c>
      <c r="K355" s="4" t="s">
        <v>1022</v>
      </c>
      <c r="L355" s="58" t="s">
        <v>1161</v>
      </c>
      <c r="M355" s="4" t="s">
        <v>1151</v>
      </c>
      <c r="N355" s="58" t="s">
        <v>1123</v>
      </c>
      <c r="O355" s="5">
        <v>16.7</v>
      </c>
      <c r="P355" s="36">
        <v>4000</v>
      </c>
      <c r="Q355" s="36">
        <v>66800</v>
      </c>
      <c r="R355" s="36" t="s">
        <v>1145</v>
      </c>
      <c r="S355" s="3" t="s">
        <v>1024</v>
      </c>
    </row>
    <row r="356" spans="1:19" ht="16.899999999999999" x14ac:dyDescent="0.4">
      <c r="A356" s="62" t="s">
        <v>1147</v>
      </c>
      <c r="B356" s="2">
        <v>45813</v>
      </c>
      <c r="C356" s="21" t="s">
        <v>748</v>
      </c>
      <c r="D356" s="3" t="s">
        <v>1025</v>
      </c>
      <c r="E356" s="2">
        <v>45960</v>
      </c>
      <c r="F356" s="3" t="s">
        <v>471</v>
      </c>
      <c r="G356" s="3" t="s">
        <v>356</v>
      </c>
      <c r="H356" s="32" t="s">
        <v>1124</v>
      </c>
      <c r="I356" s="3" t="s">
        <v>849</v>
      </c>
      <c r="J356" s="1" t="s">
        <v>1027</v>
      </c>
      <c r="K356" s="4" t="s">
        <v>1026</v>
      </c>
      <c r="L356" s="58" t="s">
        <v>1161</v>
      </c>
      <c r="M356" s="4" t="s">
        <v>1158</v>
      </c>
      <c r="N356" s="58" t="s">
        <v>1123</v>
      </c>
      <c r="O356" s="5">
        <v>15</v>
      </c>
      <c r="P356" s="5">
        <v>20</v>
      </c>
      <c r="Q356" s="5">
        <v>300</v>
      </c>
      <c r="R356" s="5" t="s">
        <v>1145</v>
      </c>
      <c r="S356" s="3" t="s">
        <v>20</v>
      </c>
    </row>
    <row r="357" spans="1:19" ht="16.899999999999999" x14ac:dyDescent="0.4">
      <c r="A357" s="62" t="s">
        <v>1147</v>
      </c>
      <c r="B357" s="2">
        <v>45821</v>
      </c>
      <c r="C357" s="21" t="s">
        <v>29</v>
      </c>
      <c r="D357" s="3" t="s">
        <v>1028</v>
      </c>
      <c r="E357" s="37">
        <v>45907</v>
      </c>
      <c r="F357" s="3" t="s">
        <v>471</v>
      </c>
      <c r="G357" s="3" t="s">
        <v>1138</v>
      </c>
      <c r="H357" s="32" t="s">
        <v>1124</v>
      </c>
      <c r="I357" s="3" t="s">
        <v>504</v>
      </c>
      <c r="J357" s="1" t="s">
        <v>467</v>
      </c>
      <c r="K357" s="4" t="s">
        <v>466</v>
      </c>
      <c r="L357" s="58" t="s">
        <v>1161</v>
      </c>
      <c r="M357" s="4" t="s">
        <v>1157</v>
      </c>
      <c r="N357" s="58" t="s">
        <v>1123</v>
      </c>
      <c r="O357" s="5">
        <v>10.9</v>
      </c>
      <c r="P357" s="36">
        <v>600</v>
      </c>
      <c r="Q357" s="36">
        <v>6540</v>
      </c>
      <c r="R357" s="5" t="s">
        <v>1122</v>
      </c>
      <c r="S357" s="3" t="s">
        <v>1029</v>
      </c>
    </row>
    <row r="358" spans="1:19" ht="16.899999999999999" x14ac:dyDescent="0.4">
      <c r="A358" s="62" t="s">
        <v>1147</v>
      </c>
      <c r="B358" s="2">
        <v>45821</v>
      </c>
      <c r="C358" s="21" t="s">
        <v>29</v>
      </c>
      <c r="D358" s="3" t="s">
        <v>1030</v>
      </c>
      <c r="E358" s="37">
        <v>45895</v>
      </c>
      <c r="F358" s="3" t="s">
        <v>471</v>
      </c>
      <c r="G358" s="3" t="s">
        <v>1138</v>
      </c>
      <c r="H358" s="32" t="s">
        <v>1124</v>
      </c>
      <c r="I358" s="3" t="s">
        <v>472</v>
      </c>
      <c r="J358" s="1" t="s">
        <v>562</v>
      </c>
      <c r="K358" s="4" t="s">
        <v>63</v>
      </c>
      <c r="L358" s="58" t="s">
        <v>1161</v>
      </c>
      <c r="M358" s="4" t="s">
        <v>1157</v>
      </c>
      <c r="N358" s="58" t="s">
        <v>1123</v>
      </c>
      <c r="O358" s="5">
        <v>16</v>
      </c>
      <c r="P358" s="36">
        <v>200</v>
      </c>
      <c r="Q358" s="36">
        <v>3200</v>
      </c>
      <c r="R358" s="5" t="s">
        <v>1122</v>
      </c>
      <c r="S358" s="12" t="s">
        <v>1031</v>
      </c>
    </row>
    <row r="359" spans="1:19" ht="16.899999999999999" x14ac:dyDescent="0.4">
      <c r="A359" s="62" t="s">
        <v>1147</v>
      </c>
      <c r="B359" s="2">
        <v>45840</v>
      </c>
      <c r="C359" s="1" t="s">
        <v>29</v>
      </c>
      <c r="D359" s="3" t="s">
        <v>1032</v>
      </c>
      <c r="E359" s="37">
        <v>45895</v>
      </c>
      <c r="F359" s="3" t="s">
        <v>471</v>
      </c>
      <c r="G359" s="3" t="s">
        <v>1138</v>
      </c>
      <c r="H359" s="32" t="s">
        <v>1124</v>
      </c>
      <c r="I359" s="3" t="s">
        <v>504</v>
      </c>
      <c r="J359" s="1" t="s">
        <v>454</v>
      </c>
      <c r="K359" s="4" t="s">
        <v>457</v>
      </c>
      <c r="L359" s="58" t="s">
        <v>1161</v>
      </c>
      <c r="M359" s="4" t="s">
        <v>1157</v>
      </c>
      <c r="N359" s="58" t="s">
        <v>1123</v>
      </c>
      <c r="O359" s="5">
        <v>12.3</v>
      </c>
      <c r="P359" s="36">
        <v>800</v>
      </c>
      <c r="Q359" s="36">
        <v>9840</v>
      </c>
      <c r="R359" s="5" t="s">
        <v>1122</v>
      </c>
      <c r="S359" s="12" t="s">
        <v>1033</v>
      </c>
    </row>
    <row r="360" spans="1:19" ht="16.899999999999999" x14ac:dyDescent="0.4">
      <c r="A360" s="62" t="s">
        <v>1147</v>
      </c>
      <c r="B360" s="2">
        <v>45842</v>
      </c>
      <c r="C360" s="1" t="s">
        <v>29</v>
      </c>
      <c r="D360" s="3" t="s">
        <v>1034</v>
      </c>
      <c r="E360" s="37">
        <v>45955</v>
      </c>
      <c r="F360" s="3" t="s">
        <v>471</v>
      </c>
      <c r="G360" s="3" t="s">
        <v>1138</v>
      </c>
      <c r="H360" s="32" t="s">
        <v>1124</v>
      </c>
      <c r="I360" s="3" t="s">
        <v>408</v>
      </c>
      <c r="J360" s="1" t="s">
        <v>673</v>
      </c>
      <c r="K360" s="4" t="s">
        <v>409</v>
      </c>
      <c r="L360" s="58" t="s">
        <v>1161</v>
      </c>
      <c r="M360" s="4" t="s">
        <v>1157</v>
      </c>
      <c r="N360" s="58" t="s">
        <v>1123</v>
      </c>
      <c r="O360" s="5">
        <v>10.9</v>
      </c>
      <c r="P360" s="36">
        <v>6500</v>
      </c>
      <c r="Q360" s="36">
        <v>70850</v>
      </c>
      <c r="R360" s="5" t="s">
        <v>1122</v>
      </c>
      <c r="S360" s="3" t="s">
        <v>1035</v>
      </c>
    </row>
    <row r="361" spans="1:19" ht="16.899999999999999" x14ac:dyDescent="0.4">
      <c r="A361" s="62" t="s">
        <v>1147</v>
      </c>
      <c r="B361" s="2">
        <v>45842</v>
      </c>
      <c r="C361" s="1" t="s">
        <v>29</v>
      </c>
      <c r="D361" s="3" t="s">
        <v>1036</v>
      </c>
      <c r="E361" s="37">
        <v>45907</v>
      </c>
      <c r="F361" s="3" t="s">
        <v>471</v>
      </c>
      <c r="G361" s="3" t="s">
        <v>1138</v>
      </c>
      <c r="H361" s="32" t="s">
        <v>1124</v>
      </c>
      <c r="I361" s="8" t="s">
        <v>487</v>
      </c>
      <c r="J361" s="1" t="s">
        <v>951</v>
      </c>
      <c r="K361" s="4" t="s">
        <v>950</v>
      </c>
      <c r="L361" s="58" t="s">
        <v>1160</v>
      </c>
      <c r="M361" s="4" t="s">
        <v>1157</v>
      </c>
      <c r="N361" s="58" t="s">
        <v>1123</v>
      </c>
      <c r="O361" s="5">
        <v>9.5</v>
      </c>
      <c r="P361" s="36">
        <v>600</v>
      </c>
      <c r="Q361" s="36">
        <v>5700</v>
      </c>
      <c r="R361" s="5" t="s">
        <v>1122</v>
      </c>
      <c r="S361" s="3" t="s">
        <v>1037</v>
      </c>
    </row>
    <row r="362" spans="1:19" ht="16.899999999999999" x14ac:dyDescent="0.4">
      <c r="A362" s="62" t="s">
        <v>1147</v>
      </c>
      <c r="B362" s="2">
        <v>45842</v>
      </c>
      <c r="C362" s="1" t="s">
        <v>29</v>
      </c>
      <c r="D362" s="3" t="s">
        <v>1038</v>
      </c>
      <c r="E362" s="37">
        <v>45907</v>
      </c>
      <c r="F362" s="3" t="s">
        <v>471</v>
      </c>
      <c r="G362" s="3" t="s">
        <v>1138</v>
      </c>
      <c r="H362" s="32" t="s">
        <v>1124</v>
      </c>
      <c r="I362" s="3" t="s">
        <v>487</v>
      </c>
      <c r="J362" s="1" t="s">
        <v>823</v>
      </c>
      <c r="K362" s="4" t="s">
        <v>1039</v>
      </c>
      <c r="L362" s="58" t="s">
        <v>1160</v>
      </c>
      <c r="M362" s="4" t="s">
        <v>1157</v>
      </c>
      <c r="N362" s="58" t="s">
        <v>1123</v>
      </c>
      <c r="O362" s="5">
        <v>10.9</v>
      </c>
      <c r="P362" s="36">
        <v>100</v>
      </c>
      <c r="Q362" s="36">
        <v>1090</v>
      </c>
      <c r="R362" s="5" t="s">
        <v>1122</v>
      </c>
      <c r="S362" s="3" t="s">
        <v>1040</v>
      </c>
    </row>
    <row r="363" spans="1:19" ht="16.899999999999999" x14ac:dyDescent="0.4">
      <c r="A363" s="62" t="s">
        <v>1147</v>
      </c>
      <c r="B363" s="2">
        <v>45860</v>
      </c>
      <c r="C363" s="1" t="s">
        <v>29</v>
      </c>
      <c r="D363" s="3" t="s">
        <v>1041</v>
      </c>
      <c r="E363" s="37">
        <v>45955</v>
      </c>
      <c r="F363" s="3" t="s">
        <v>471</v>
      </c>
      <c r="G363" s="3" t="s">
        <v>1138</v>
      </c>
      <c r="H363" s="32" t="s">
        <v>1124</v>
      </c>
      <c r="I363" s="3" t="s">
        <v>504</v>
      </c>
      <c r="J363" s="1" t="s">
        <v>673</v>
      </c>
      <c r="K363" s="4" t="s">
        <v>409</v>
      </c>
      <c r="L363" s="58" t="s">
        <v>1161</v>
      </c>
      <c r="M363" s="4" t="s">
        <v>1157</v>
      </c>
      <c r="N363" s="58" t="s">
        <v>1123</v>
      </c>
      <c r="O363" s="5">
        <v>10.9</v>
      </c>
      <c r="P363" s="36">
        <v>2750</v>
      </c>
      <c r="Q363" s="36">
        <v>29975</v>
      </c>
      <c r="R363" s="5" t="s">
        <v>1122</v>
      </c>
      <c r="S363" s="3" t="s">
        <v>1042</v>
      </c>
    </row>
    <row r="364" spans="1:19" ht="16.899999999999999" x14ac:dyDescent="0.4">
      <c r="A364" s="62" t="s">
        <v>1147</v>
      </c>
      <c r="B364" s="2">
        <v>45860</v>
      </c>
      <c r="C364" s="1" t="s">
        <v>29</v>
      </c>
      <c r="D364" s="3" t="s">
        <v>1043</v>
      </c>
      <c r="E364" s="37">
        <v>46001</v>
      </c>
      <c r="F364" s="3" t="s">
        <v>471</v>
      </c>
      <c r="G364" s="3" t="s">
        <v>1138</v>
      </c>
      <c r="H364" s="32" t="s">
        <v>1124</v>
      </c>
      <c r="I364" s="3" t="s">
        <v>504</v>
      </c>
      <c r="J364" s="1" t="s">
        <v>673</v>
      </c>
      <c r="K364" s="4" t="s">
        <v>409</v>
      </c>
      <c r="L364" s="58" t="s">
        <v>1161</v>
      </c>
      <c r="M364" s="4" t="s">
        <v>1157</v>
      </c>
      <c r="N364" s="58" t="s">
        <v>1123</v>
      </c>
      <c r="O364" s="5">
        <v>10.9</v>
      </c>
      <c r="P364" s="36">
        <v>3890</v>
      </c>
      <c r="Q364" s="36">
        <v>42401</v>
      </c>
      <c r="R364" s="5" t="s">
        <v>1122</v>
      </c>
      <c r="S364" s="3" t="s">
        <v>1044</v>
      </c>
    </row>
    <row r="365" spans="1:19" ht="16.899999999999999" x14ac:dyDescent="0.4">
      <c r="A365" s="62" t="s">
        <v>1147</v>
      </c>
      <c r="B365" s="2">
        <v>45860</v>
      </c>
      <c r="C365" s="1" t="s">
        <v>29</v>
      </c>
      <c r="D365" s="3" t="s">
        <v>1046</v>
      </c>
      <c r="E365" s="49">
        <v>46011</v>
      </c>
      <c r="F365" s="3" t="s">
        <v>471</v>
      </c>
      <c r="G365" s="3" t="s">
        <v>1138</v>
      </c>
      <c r="H365" s="32" t="s">
        <v>1124</v>
      </c>
      <c r="I365" s="3" t="s">
        <v>504</v>
      </c>
      <c r="J365" s="1" t="s">
        <v>673</v>
      </c>
      <c r="K365" s="4" t="s">
        <v>409</v>
      </c>
      <c r="L365" s="58" t="s">
        <v>1161</v>
      </c>
      <c r="M365" s="4" t="s">
        <v>1157</v>
      </c>
      <c r="N365" s="58" t="s">
        <v>1123</v>
      </c>
      <c r="O365" s="5">
        <v>10.9</v>
      </c>
      <c r="P365" s="48">
        <v>3650</v>
      </c>
      <c r="Q365" s="48">
        <v>39785</v>
      </c>
      <c r="R365" s="5" t="s">
        <v>1122</v>
      </c>
      <c r="S365" s="3" t="s">
        <v>1047</v>
      </c>
    </row>
    <row r="366" spans="1:19" ht="16.899999999999999" x14ac:dyDescent="0.4">
      <c r="A366" s="62" t="s">
        <v>1147</v>
      </c>
      <c r="B366" s="2">
        <v>45860</v>
      </c>
      <c r="C366" s="1" t="s">
        <v>29</v>
      </c>
      <c r="D366" s="3" t="s">
        <v>1045</v>
      </c>
      <c r="E366" s="37">
        <v>45986</v>
      </c>
      <c r="F366" s="3" t="s">
        <v>471</v>
      </c>
      <c r="G366" s="3" t="s">
        <v>1138</v>
      </c>
      <c r="H366" s="32" t="s">
        <v>1124</v>
      </c>
      <c r="I366" s="3" t="s">
        <v>504</v>
      </c>
      <c r="J366" s="1" t="s">
        <v>673</v>
      </c>
      <c r="K366" s="4" t="s">
        <v>409</v>
      </c>
      <c r="L366" s="58" t="s">
        <v>1161</v>
      </c>
      <c r="M366" s="4" t="s">
        <v>1157</v>
      </c>
      <c r="N366" s="58" t="s">
        <v>1123</v>
      </c>
      <c r="O366" s="5">
        <v>10.9</v>
      </c>
      <c r="P366" s="36">
        <v>3890</v>
      </c>
      <c r="Q366" s="36">
        <v>42401</v>
      </c>
      <c r="R366" s="5" t="s">
        <v>1122</v>
      </c>
      <c r="S366" s="3" t="s">
        <v>1044</v>
      </c>
    </row>
    <row r="367" spans="1:19" ht="16.899999999999999" x14ac:dyDescent="0.4">
      <c r="A367" s="62" t="s">
        <v>1147</v>
      </c>
      <c r="B367" s="2">
        <v>45861</v>
      </c>
      <c r="C367" s="21" t="s">
        <v>108</v>
      </c>
      <c r="D367" s="3" t="s">
        <v>1048</v>
      </c>
      <c r="E367" s="37">
        <v>45916</v>
      </c>
      <c r="F367" s="3" t="s">
        <v>525</v>
      </c>
      <c r="G367" s="3" t="s">
        <v>356</v>
      </c>
      <c r="H367" s="32" t="s">
        <v>1124</v>
      </c>
      <c r="I367" s="3" t="s">
        <v>1049</v>
      </c>
      <c r="J367" s="1" t="s">
        <v>698</v>
      </c>
      <c r="K367" s="4" t="s">
        <v>476</v>
      </c>
      <c r="L367" s="58" t="s">
        <v>1161</v>
      </c>
      <c r="M367" s="4" t="s">
        <v>1151</v>
      </c>
      <c r="N367" s="58" t="s">
        <v>1123</v>
      </c>
      <c r="O367" s="5">
        <v>145</v>
      </c>
      <c r="P367" s="36">
        <v>3500</v>
      </c>
      <c r="Q367" s="36">
        <v>507500</v>
      </c>
      <c r="R367" s="5" t="s">
        <v>1146</v>
      </c>
      <c r="S367" s="59" t="s">
        <v>1050</v>
      </c>
    </row>
    <row r="368" spans="1:19" ht="16.899999999999999" x14ac:dyDescent="0.4">
      <c r="A368" s="62" t="s">
        <v>1147</v>
      </c>
      <c r="B368" s="2">
        <v>45866</v>
      </c>
      <c r="C368" s="1" t="s">
        <v>29</v>
      </c>
      <c r="D368" s="3" t="s">
        <v>1051</v>
      </c>
      <c r="E368" s="37">
        <v>45955</v>
      </c>
      <c r="F368" s="3" t="s">
        <v>471</v>
      </c>
      <c r="G368" s="3" t="s">
        <v>1138</v>
      </c>
      <c r="H368" s="32" t="s">
        <v>1124</v>
      </c>
      <c r="I368" s="3" t="s">
        <v>230</v>
      </c>
      <c r="J368" s="1" t="s">
        <v>1053</v>
      </c>
      <c r="K368" s="4" t="s">
        <v>1052</v>
      </c>
      <c r="L368" s="58" t="s">
        <v>1161</v>
      </c>
      <c r="M368" s="4" t="s">
        <v>1157</v>
      </c>
      <c r="N368" s="58" t="s">
        <v>1123</v>
      </c>
      <c r="O368" s="5">
        <v>16.8</v>
      </c>
      <c r="P368" s="36">
        <v>600</v>
      </c>
      <c r="Q368" s="36">
        <v>10080</v>
      </c>
      <c r="R368" s="5" t="s">
        <v>1122</v>
      </c>
      <c r="S368" s="3" t="s">
        <v>1054</v>
      </c>
    </row>
    <row r="369" spans="1:19" ht="16.899999999999999" x14ac:dyDescent="0.4">
      <c r="A369" s="62" t="s">
        <v>1147</v>
      </c>
      <c r="B369" s="2">
        <v>45887</v>
      </c>
      <c r="C369" s="1" t="s">
        <v>29</v>
      </c>
      <c r="D369" s="3" t="s">
        <v>1055</v>
      </c>
      <c r="E369" s="49">
        <v>45981</v>
      </c>
      <c r="F369" s="3" t="s">
        <v>471</v>
      </c>
      <c r="G369" s="3" t="s">
        <v>1138</v>
      </c>
      <c r="H369" s="32" t="s">
        <v>1124</v>
      </c>
      <c r="I369" s="3" t="s">
        <v>504</v>
      </c>
      <c r="J369" s="1" t="s">
        <v>673</v>
      </c>
      <c r="K369" s="4" t="s">
        <v>409</v>
      </c>
      <c r="L369" s="58" t="s">
        <v>1161</v>
      </c>
      <c r="M369" s="4" t="s">
        <v>1157</v>
      </c>
      <c r="N369" s="58" t="s">
        <v>1123</v>
      </c>
      <c r="O369" s="5">
        <v>10.9</v>
      </c>
      <c r="P369" s="48">
        <v>3890</v>
      </c>
      <c r="Q369" s="48">
        <v>42401</v>
      </c>
      <c r="R369" s="5" t="s">
        <v>1122</v>
      </c>
      <c r="S369" s="3" t="s">
        <v>1044</v>
      </c>
    </row>
    <row r="370" spans="1:19" ht="16.899999999999999" x14ac:dyDescent="0.4">
      <c r="A370" s="62" t="s">
        <v>1147</v>
      </c>
      <c r="B370" s="2">
        <v>45887</v>
      </c>
      <c r="C370" s="1" t="s">
        <v>29</v>
      </c>
      <c r="D370" s="3" t="s">
        <v>1056</v>
      </c>
      <c r="E370" s="49">
        <v>45981</v>
      </c>
      <c r="F370" s="3" t="s">
        <v>471</v>
      </c>
      <c r="G370" s="3" t="s">
        <v>1138</v>
      </c>
      <c r="H370" s="32" t="s">
        <v>1124</v>
      </c>
      <c r="I370" s="3" t="s">
        <v>504</v>
      </c>
      <c r="J370" s="1" t="s">
        <v>673</v>
      </c>
      <c r="K370" s="4" t="s">
        <v>409</v>
      </c>
      <c r="L370" s="58" t="s">
        <v>1161</v>
      </c>
      <c r="M370" s="4" t="s">
        <v>1157</v>
      </c>
      <c r="N370" s="58" t="s">
        <v>1123</v>
      </c>
      <c r="O370" s="5">
        <v>10.9</v>
      </c>
      <c r="P370" s="48">
        <v>3890</v>
      </c>
      <c r="Q370" s="48">
        <v>42401</v>
      </c>
      <c r="R370" s="5" t="s">
        <v>1122</v>
      </c>
      <c r="S370" s="3" t="s">
        <v>1044</v>
      </c>
    </row>
    <row r="371" spans="1:19" ht="16.899999999999999" x14ac:dyDescent="0.4">
      <c r="A371" s="62" t="s">
        <v>1147</v>
      </c>
      <c r="B371" s="2">
        <v>45891</v>
      </c>
      <c r="C371" s="1" t="s">
        <v>1085</v>
      </c>
      <c r="D371" s="3" t="s">
        <v>1086</v>
      </c>
      <c r="E371" s="2">
        <v>45955</v>
      </c>
      <c r="F371" s="3" t="s">
        <v>593</v>
      </c>
      <c r="G371" s="3" t="s">
        <v>356</v>
      </c>
      <c r="H371" s="32" t="s">
        <v>1124</v>
      </c>
      <c r="I371" s="8" t="s">
        <v>1087</v>
      </c>
      <c r="J371" s="1" t="s">
        <v>1089</v>
      </c>
      <c r="K371" s="4" t="s">
        <v>1088</v>
      </c>
      <c r="L371" s="58" t="s">
        <v>1161</v>
      </c>
      <c r="M371" s="4" t="s">
        <v>1151</v>
      </c>
      <c r="N371" s="58" t="s">
        <v>1123</v>
      </c>
      <c r="O371" s="5">
        <v>82</v>
      </c>
      <c r="P371" s="5">
        <v>3680</v>
      </c>
      <c r="Q371" s="5">
        <v>301760</v>
      </c>
      <c r="R371" s="5" t="s">
        <v>1146</v>
      </c>
      <c r="S371" s="3" t="s">
        <v>1090</v>
      </c>
    </row>
    <row r="372" spans="1:19" ht="16.899999999999999" x14ac:dyDescent="0.4">
      <c r="A372" s="62" t="s">
        <v>1147</v>
      </c>
      <c r="B372" s="2">
        <v>45895</v>
      </c>
      <c r="C372" s="1" t="s">
        <v>29</v>
      </c>
      <c r="D372" s="3" t="s">
        <v>1057</v>
      </c>
      <c r="E372" s="37">
        <v>45949</v>
      </c>
      <c r="F372" s="3" t="s">
        <v>471</v>
      </c>
      <c r="G372" s="3" t="s">
        <v>1138</v>
      </c>
      <c r="H372" s="32" t="s">
        <v>1124</v>
      </c>
      <c r="I372" s="3" t="s">
        <v>504</v>
      </c>
      <c r="J372" s="1" t="s">
        <v>467</v>
      </c>
      <c r="K372" s="4" t="s">
        <v>466</v>
      </c>
      <c r="L372" s="58" t="s">
        <v>1161</v>
      </c>
      <c r="M372" s="4" t="s">
        <v>1157</v>
      </c>
      <c r="N372" s="58" t="s">
        <v>1123</v>
      </c>
      <c r="O372" s="5">
        <v>10.9</v>
      </c>
      <c r="P372" s="36">
        <v>1200</v>
      </c>
      <c r="Q372" s="36">
        <v>13080</v>
      </c>
      <c r="R372" s="5" t="s">
        <v>1122</v>
      </c>
      <c r="S372" s="3" t="s">
        <v>1058</v>
      </c>
    </row>
    <row r="373" spans="1:19" ht="16.899999999999999" x14ac:dyDescent="0.4">
      <c r="A373" s="62" t="s">
        <v>1147</v>
      </c>
      <c r="B373" s="2">
        <v>45897</v>
      </c>
      <c r="C373" s="21" t="s">
        <v>469</v>
      </c>
      <c r="D373" s="3" t="s">
        <v>1062</v>
      </c>
      <c r="E373" s="37">
        <v>45930</v>
      </c>
      <c r="F373" s="3" t="s">
        <v>471</v>
      </c>
      <c r="G373" s="3" t="s">
        <v>356</v>
      </c>
      <c r="H373" s="32" t="s">
        <v>1124</v>
      </c>
      <c r="I373" s="3" t="s">
        <v>475</v>
      </c>
      <c r="J373" s="1" t="s">
        <v>786</v>
      </c>
      <c r="K373" s="4">
        <v>1020434</v>
      </c>
      <c r="L373" s="58" t="s">
        <v>1161</v>
      </c>
      <c r="M373" s="4" t="s">
        <v>1153</v>
      </c>
      <c r="N373" s="58" t="s">
        <v>1123</v>
      </c>
      <c r="O373" s="5">
        <v>11.6</v>
      </c>
      <c r="P373" s="36">
        <v>400</v>
      </c>
      <c r="Q373" s="36">
        <v>4640</v>
      </c>
      <c r="R373" s="5" t="s">
        <v>1122</v>
      </c>
      <c r="S373" s="3" t="s">
        <v>1063</v>
      </c>
    </row>
    <row r="374" spans="1:19" ht="16.899999999999999" x14ac:dyDescent="0.4">
      <c r="A374" s="62" t="s">
        <v>1147</v>
      </c>
      <c r="B374" s="2">
        <v>45897</v>
      </c>
      <c r="C374" s="1" t="s">
        <v>469</v>
      </c>
      <c r="D374" s="3" t="s">
        <v>1064</v>
      </c>
      <c r="E374" s="37">
        <v>45930</v>
      </c>
      <c r="F374" s="3" t="s">
        <v>471</v>
      </c>
      <c r="G374" s="3" t="s">
        <v>356</v>
      </c>
      <c r="H374" s="32" t="s">
        <v>1124</v>
      </c>
      <c r="I374" s="50" t="s">
        <v>475</v>
      </c>
      <c r="J374" s="1" t="s">
        <v>786</v>
      </c>
      <c r="K374" s="4">
        <v>4320001</v>
      </c>
      <c r="L374" s="58" t="s">
        <v>1161</v>
      </c>
      <c r="M374" s="4" t="s">
        <v>1153</v>
      </c>
      <c r="N374" s="58" t="s">
        <v>1123</v>
      </c>
      <c r="O374" s="5">
        <v>11.6</v>
      </c>
      <c r="P374" s="36">
        <v>400</v>
      </c>
      <c r="Q374" s="36">
        <v>4640</v>
      </c>
      <c r="R374" s="5" t="s">
        <v>1122</v>
      </c>
      <c r="S374" s="3" t="s">
        <v>1065</v>
      </c>
    </row>
    <row r="375" spans="1:19" ht="16.899999999999999" x14ac:dyDescent="0.4">
      <c r="A375" s="62" t="s">
        <v>1147</v>
      </c>
      <c r="B375" s="2">
        <v>45897</v>
      </c>
      <c r="C375" s="21" t="s">
        <v>758</v>
      </c>
      <c r="D375" s="3" t="s">
        <v>1059</v>
      </c>
      <c r="E375" s="37">
        <v>45926</v>
      </c>
      <c r="F375" s="3" t="s">
        <v>525</v>
      </c>
      <c r="G375" s="3" t="s">
        <v>1134</v>
      </c>
      <c r="H375" s="32" t="s">
        <v>1124</v>
      </c>
      <c r="I375" s="3" t="s">
        <v>408</v>
      </c>
      <c r="J375" s="1" t="s">
        <v>834</v>
      </c>
      <c r="K375" s="4" t="s">
        <v>1060</v>
      </c>
      <c r="L375" s="58" t="s">
        <v>1161</v>
      </c>
      <c r="M375" s="4" t="s">
        <v>1156</v>
      </c>
      <c r="N375" s="58" t="s">
        <v>1123</v>
      </c>
      <c r="O375" s="5">
        <v>12</v>
      </c>
      <c r="P375" s="36">
        <v>8000</v>
      </c>
      <c r="Q375" s="36">
        <v>96000</v>
      </c>
      <c r="R375" s="5" t="s">
        <v>1145</v>
      </c>
      <c r="S375" s="3" t="s">
        <v>1061</v>
      </c>
    </row>
    <row r="376" spans="1:19" ht="16.899999999999999" x14ac:dyDescent="0.4">
      <c r="A376" s="62" t="s">
        <v>1147</v>
      </c>
      <c r="B376" s="2">
        <v>45898</v>
      </c>
      <c r="C376" s="21" t="s">
        <v>556</v>
      </c>
      <c r="D376" s="3" t="s">
        <v>1066</v>
      </c>
      <c r="E376" s="37">
        <v>45935</v>
      </c>
      <c r="F376" s="3" t="s">
        <v>471</v>
      </c>
      <c r="G376" s="3" t="s">
        <v>356</v>
      </c>
      <c r="H376" s="32" t="s">
        <v>1124</v>
      </c>
      <c r="I376" s="3" t="s">
        <v>504</v>
      </c>
      <c r="J376" s="1" t="s">
        <v>673</v>
      </c>
      <c r="K376" s="4" t="s">
        <v>409</v>
      </c>
      <c r="L376" s="58" t="s">
        <v>1161</v>
      </c>
      <c r="M376" s="4" t="s">
        <v>1151</v>
      </c>
      <c r="N376" s="58" t="s">
        <v>1123</v>
      </c>
      <c r="O376" s="5">
        <v>13.1</v>
      </c>
      <c r="P376" s="36">
        <v>3000</v>
      </c>
      <c r="Q376" s="36">
        <v>39300</v>
      </c>
      <c r="R376" s="5" t="s">
        <v>1145</v>
      </c>
      <c r="S376" s="59" t="s">
        <v>570</v>
      </c>
    </row>
    <row r="377" spans="1:19" ht="16.899999999999999" x14ac:dyDescent="0.4">
      <c r="A377" s="62" t="s">
        <v>1147</v>
      </c>
      <c r="B377" s="2">
        <v>45904</v>
      </c>
      <c r="C377" s="1" t="s">
        <v>847</v>
      </c>
      <c r="D377" s="3" t="s">
        <v>1067</v>
      </c>
      <c r="E377" s="2">
        <v>45930</v>
      </c>
      <c r="F377" s="3" t="s">
        <v>593</v>
      </c>
      <c r="G377" s="3" t="s">
        <v>356</v>
      </c>
      <c r="H377" s="32" t="s">
        <v>1124</v>
      </c>
      <c r="I377" s="3" t="s">
        <v>849</v>
      </c>
      <c r="J377" s="1" t="s">
        <v>1068</v>
      </c>
      <c r="K377" s="4" t="s">
        <v>69</v>
      </c>
      <c r="L377" s="58" t="s">
        <v>1161</v>
      </c>
      <c r="M377" s="4" t="s">
        <v>1151</v>
      </c>
      <c r="N377" s="58" t="s">
        <v>1123</v>
      </c>
      <c r="O377" s="5">
        <v>90</v>
      </c>
      <c r="P377" s="5">
        <v>200</v>
      </c>
      <c r="Q377" s="5">
        <v>18000</v>
      </c>
      <c r="R377" s="5" t="s">
        <v>1146</v>
      </c>
      <c r="S377" s="3" t="s">
        <v>1069</v>
      </c>
    </row>
    <row r="378" spans="1:19" ht="16.899999999999999" x14ac:dyDescent="0.4">
      <c r="A378" s="62" t="s">
        <v>1147</v>
      </c>
      <c r="B378" s="2">
        <v>45904</v>
      </c>
      <c r="C378" s="1" t="s">
        <v>847</v>
      </c>
      <c r="D378" s="3" t="s">
        <v>1070</v>
      </c>
      <c r="E378" s="2">
        <v>45930</v>
      </c>
      <c r="F378" s="3" t="s">
        <v>593</v>
      </c>
      <c r="G378" s="3" t="s">
        <v>356</v>
      </c>
      <c r="H378" s="32" t="s">
        <v>1124</v>
      </c>
      <c r="I378" s="3" t="s">
        <v>1071</v>
      </c>
      <c r="J378" s="1" t="s">
        <v>1068</v>
      </c>
      <c r="K378" s="4" t="s">
        <v>69</v>
      </c>
      <c r="L378" s="58" t="s">
        <v>1161</v>
      </c>
      <c r="M378" s="4" t="s">
        <v>1151</v>
      </c>
      <c r="N378" s="58" t="s">
        <v>1123</v>
      </c>
      <c r="O378" s="5">
        <v>130.5</v>
      </c>
      <c r="P378" s="5">
        <v>100</v>
      </c>
      <c r="Q378" s="5">
        <v>13050</v>
      </c>
      <c r="R378" s="5" t="s">
        <v>1146</v>
      </c>
      <c r="S378" s="3" t="s">
        <v>1072</v>
      </c>
    </row>
    <row r="379" spans="1:19" ht="16.899999999999999" x14ac:dyDescent="0.4">
      <c r="A379" s="62" t="s">
        <v>1147</v>
      </c>
      <c r="B379" s="2">
        <v>45905</v>
      </c>
      <c r="C379" s="1" t="s">
        <v>29</v>
      </c>
      <c r="D379" s="3" t="s">
        <v>1073</v>
      </c>
      <c r="E379" s="37">
        <v>45949</v>
      </c>
      <c r="F379" s="3" t="s">
        <v>471</v>
      </c>
      <c r="G379" s="3" t="s">
        <v>1138</v>
      </c>
      <c r="H379" s="32" t="s">
        <v>1124</v>
      </c>
      <c r="I379" s="3" t="s">
        <v>487</v>
      </c>
      <c r="J379" s="1" t="s">
        <v>951</v>
      </c>
      <c r="K379" s="4" t="s">
        <v>950</v>
      </c>
      <c r="L379" s="58" t="s">
        <v>1160</v>
      </c>
      <c r="M379" s="4" t="s">
        <v>1157</v>
      </c>
      <c r="N379" s="58" t="s">
        <v>1123</v>
      </c>
      <c r="O379" s="5">
        <v>9.5</v>
      </c>
      <c r="P379" s="36">
        <v>100</v>
      </c>
      <c r="Q379" s="36">
        <v>950</v>
      </c>
      <c r="R379" s="5" t="s">
        <v>1122</v>
      </c>
      <c r="S379" s="3" t="s">
        <v>1074</v>
      </c>
    </row>
    <row r="380" spans="1:19" ht="16.899999999999999" x14ac:dyDescent="0.4">
      <c r="A380" s="62" t="s">
        <v>1147</v>
      </c>
      <c r="B380" s="2">
        <v>45910</v>
      </c>
      <c r="C380" s="1" t="s">
        <v>1094</v>
      </c>
      <c r="D380" s="3" t="s">
        <v>1095</v>
      </c>
      <c r="E380" s="2">
        <v>45975</v>
      </c>
      <c r="F380" s="3" t="s">
        <v>1140</v>
      </c>
      <c r="G380" s="3" t="s">
        <v>356</v>
      </c>
      <c r="H380" s="32" t="s">
        <v>1124</v>
      </c>
      <c r="I380" s="3" t="s">
        <v>408</v>
      </c>
      <c r="J380" s="1" t="s">
        <v>1096</v>
      </c>
      <c r="L380" s="58" t="s">
        <v>1161</v>
      </c>
      <c r="M380" s="4" t="s">
        <v>1151</v>
      </c>
      <c r="N380" s="58" t="s">
        <v>1123</v>
      </c>
      <c r="O380" s="5">
        <v>72</v>
      </c>
      <c r="P380" s="5">
        <v>200</v>
      </c>
      <c r="Q380" s="5">
        <v>14400</v>
      </c>
      <c r="R380" s="5" t="s">
        <v>1146</v>
      </c>
      <c r="S380" s="3" t="s">
        <v>1097</v>
      </c>
    </row>
    <row r="381" spans="1:19" ht="16.899999999999999" x14ac:dyDescent="0.4">
      <c r="A381" s="62" t="s">
        <v>1147</v>
      </c>
      <c r="B381" s="2">
        <v>45918</v>
      </c>
      <c r="C381" s="21" t="s">
        <v>1075</v>
      </c>
      <c r="D381" s="3" t="s">
        <v>1076</v>
      </c>
      <c r="E381" s="37">
        <v>45932</v>
      </c>
      <c r="F381" s="3" t="s">
        <v>471</v>
      </c>
      <c r="G381" s="3" t="s">
        <v>356</v>
      </c>
      <c r="H381" s="32" t="s">
        <v>1124</v>
      </c>
      <c r="I381" s="3" t="s">
        <v>504</v>
      </c>
      <c r="J381" s="1" t="s">
        <v>467</v>
      </c>
      <c r="K381" s="4" t="s">
        <v>466</v>
      </c>
      <c r="L381" s="58" t="s">
        <v>1161</v>
      </c>
      <c r="M381" s="4" t="s">
        <v>1151</v>
      </c>
      <c r="N381" s="58" t="s">
        <v>1123</v>
      </c>
      <c r="O381" s="5">
        <v>15</v>
      </c>
      <c r="P381" s="36">
        <v>4000</v>
      </c>
      <c r="Q381" s="36">
        <v>60000</v>
      </c>
      <c r="R381" s="36" t="s">
        <v>1145</v>
      </c>
      <c r="S381" s="3" t="s">
        <v>1077</v>
      </c>
    </row>
    <row r="382" spans="1:19" ht="16.899999999999999" x14ac:dyDescent="0.4">
      <c r="A382" s="62" t="s">
        <v>1147</v>
      </c>
      <c r="B382" s="2">
        <v>45936</v>
      </c>
      <c r="C382" s="21" t="s">
        <v>469</v>
      </c>
      <c r="D382" s="3" t="s">
        <v>1080</v>
      </c>
      <c r="E382" s="37">
        <v>45950</v>
      </c>
      <c r="F382" s="3" t="s">
        <v>471</v>
      </c>
      <c r="G382" s="3" t="s">
        <v>356</v>
      </c>
      <c r="H382" s="32" t="s">
        <v>1124</v>
      </c>
      <c r="I382" s="3" t="s">
        <v>230</v>
      </c>
      <c r="J382" s="1" t="s">
        <v>786</v>
      </c>
      <c r="K382" s="4">
        <v>1020434</v>
      </c>
      <c r="L382" s="58" t="s">
        <v>1161</v>
      </c>
      <c r="M382" s="4" t="s">
        <v>1153</v>
      </c>
      <c r="N382" s="58" t="s">
        <v>1123</v>
      </c>
      <c r="O382" s="5">
        <v>11.6</v>
      </c>
      <c r="P382" s="36">
        <v>400</v>
      </c>
      <c r="Q382" s="36">
        <v>4640</v>
      </c>
      <c r="R382" s="5" t="s">
        <v>1122</v>
      </c>
      <c r="S382" s="3" t="s">
        <v>1063</v>
      </c>
    </row>
    <row r="383" spans="1:19" ht="16.899999999999999" x14ac:dyDescent="0.4">
      <c r="A383" s="62" t="s">
        <v>1147</v>
      </c>
      <c r="B383" s="2">
        <v>45937</v>
      </c>
      <c r="C383" s="21" t="s">
        <v>29</v>
      </c>
      <c r="D383" s="3" t="s">
        <v>1081</v>
      </c>
      <c r="E383" s="37">
        <v>45949</v>
      </c>
      <c r="F383" s="3" t="s">
        <v>471</v>
      </c>
      <c r="G383" s="3" t="s">
        <v>1138</v>
      </c>
      <c r="H383" s="32" t="s">
        <v>1124</v>
      </c>
      <c r="I383" s="3" t="s">
        <v>504</v>
      </c>
      <c r="J383" s="1" t="s">
        <v>951</v>
      </c>
      <c r="K383" s="4" t="s">
        <v>1082</v>
      </c>
      <c r="L383" s="58" t="s">
        <v>1161</v>
      </c>
      <c r="M383" s="4" t="s">
        <v>1157</v>
      </c>
      <c r="N383" s="58" t="s">
        <v>1123</v>
      </c>
      <c r="O383" s="5">
        <v>11</v>
      </c>
      <c r="P383" s="36">
        <v>100</v>
      </c>
      <c r="Q383" s="36">
        <v>1100</v>
      </c>
      <c r="R383" s="5" t="s">
        <v>1122</v>
      </c>
      <c r="S383" s="3" t="s">
        <v>1074</v>
      </c>
    </row>
    <row r="384" spans="1:19" ht="16.899999999999999" x14ac:dyDescent="0.4">
      <c r="A384" s="62" t="s">
        <v>1147</v>
      </c>
      <c r="B384" s="2">
        <v>45947</v>
      </c>
      <c r="C384" s="1" t="s">
        <v>120</v>
      </c>
      <c r="D384" s="3" t="s">
        <v>1083</v>
      </c>
      <c r="E384" s="2">
        <v>45952</v>
      </c>
      <c r="F384" s="3" t="s">
        <v>525</v>
      </c>
      <c r="G384" s="3" t="s">
        <v>356</v>
      </c>
      <c r="H384" s="32" t="s">
        <v>1124</v>
      </c>
      <c r="I384" s="3" t="s">
        <v>526</v>
      </c>
      <c r="J384" s="1" t="s">
        <v>527</v>
      </c>
      <c r="L384" s="58" t="s">
        <v>1160</v>
      </c>
      <c r="M384" s="58" t="s">
        <v>1150</v>
      </c>
      <c r="N384" s="58" t="s">
        <v>1123</v>
      </c>
      <c r="O384" s="5">
        <v>6</v>
      </c>
      <c r="P384" s="5">
        <v>200</v>
      </c>
      <c r="Q384" s="5">
        <v>1200</v>
      </c>
      <c r="R384" s="5" t="s">
        <v>1145</v>
      </c>
      <c r="S384" s="3" t="s">
        <v>1084</v>
      </c>
    </row>
    <row r="385" spans="1:19" ht="16.899999999999999" x14ac:dyDescent="0.4">
      <c r="A385" s="62" t="s">
        <v>1147</v>
      </c>
      <c r="B385" s="2">
        <v>45956</v>
      </c>
      <c r="C385" s="1" t="s">
        <v>1085</v>
      </c>
      <c r="D385" s="3" t="s">
        <v>1091</v>
      </c>
      <c r="E385" s="2">
        <v>46006</v>
      </c>
      <c r="F385" s="3" t="s">
        <v>593</v>
      </c>
      <c r="G385" s="3" t="s">
        <v>356</v>
      </c>
      <c r="H385" s="32" t="s">
        <v>1124</v>
      </c>
      <c r="I385" s="8" t="s">
        <v>1092</v>
      </c>
      <c r="J385" s="1" t="s">
        <v>1089</v>
      </c>
      <c r="K385" s="4" t="s">
        <v>69</v>
      </c>
      <c r="L385" s="58" t="s">
        <v>1161</v>
      </c>
      <c r="M385" s="4" t="s">
        <v>1151</v>
      </c>
      <c r="N385" s="58" t="s">
        <v>1123</v>
      </c>
      <c r="O385" s="5">
        <v>80</v>
      </c>
      <c r="P385" s="5">
        <v>3520</v>
      </c>
      <c r="Q385" s="5">
        <v>281600</v>
      </c>
      <c r="R385" s="5" t="s">
        <v>1146</v>
      </c>
      <c r="S385" s="3" t="s">
        <v>20</v>
      </c>
    </row>
    <row r="386" spans="1:19" ht="16.899999999999999" x14ac:dyDescent="0.4">
      <c r="A386" s="62" t="s">
        <v>1147</v>
      </c>
      <c r="B386" s="2">
        <v>45956</v>
      </c>
      <c r="C386" s="1" t="s">
        <v>1085</v>
      </c>
      <c r="D386" s="3" t="s">
        <v>1093</v>
      </c>
      <c r="E386" s="2">
        <v>46082</v>
      </c>
      <c r="F386" s="3" t="s">
        <v>593</v>
      </c>
      <c r="G386" s="3" t="s">
        <v>356</v>
      </c>
      <c r="H386" s="32" t="s">
        <v>1124</v>
      </c>
      <c r="I386" s="3" t="s">
        <v>1092</v>
      </c>
      <c r="J386" s="1" t="s">
        <v>1089</v>
      </c>
      <c r="K386" s="4" t="s">
        <v>69</v>
      </c>
      <c r="L386" s="58" t="s">
        <v>1161</v>
      </c>
      <c r="M386" s="4" t="s">
        <v>1151</v>
      </c>
      <c r="N386" s="58" t="s">
        <v>1123</v>
      </c>
      <c r="O386" s="5">
        <v>80</v>
      </c>
      <c r="P386" s="5">
        <v>3520</v>
      </c>
      <c r="Q386" s="5">
        <v>281600</v>
      </c>
      <c r="R386" s="5" t="s">
        <v>1146</v>
      </c>
    </row>
    <row r="387" spans="1:19" ht="16.899999999999999" x14ac:dyDescent="0.4">
      <c r="A387" s="62" t="s">
        <v>1147</v>
      </c>
      <c r="B387" s="2">
        <v>45986</v>
      </c>
      <c r="C387" s="1" t="s">
        <v>830</v>
      </c>
      <c r="D387" s="3" t="s">
        <v>1098</v>
      </c>
      <c r="E387" s="2">
        <v>46003</v>
      </c>
      <c r="F387" s="3" t="s">
        <v>525</v>
      </c>
      <c r="G387" s="3" t="s">
        <v>1134</v>
      </c>
      <c r="H387" s="32" t="s">
        <v>1124</v>
      </c>
      <c r="I387" s="3" t="s">
        <v>1099</v>
      </c>
      <c r="J387" s="1" t="s">
        <v>1068</v>
      </c>
      <c r="K387" s="4" t="s">
        <v>69</v>
      </c>
      <c r="L387" s="58" t="s">
        <v>1160</v>
      </c>
      <c r="M387" s="4" t="s">
        <v>1156</v>
      </c>
      <c r="N387" s="58" t="s">
        <v>1123</v>
      </c>
      <c r="O387" s="5">
        <v>10.5</v>
      </c>
      <c r="P387" s="5">
        <v>3530</v>
      </c>
      <c r="Q387" s="5">
        <v>37065</v>
      </c>
      <c r="R387" s="5" t="s">
        <v>1145</v>
      </c>
      <c r="S387" s="3" t="s">
        <v>20</v>
      </c>
    </row>
    <row r="388" spans="1:19" ht="16.899999999999999" x14ac:dyDescent="0.4">
      <c r="A388" s="62" t="s">
        <v>1147</v>
      </c>
      <c r="B388" s="2">
        <v>45986</v>
      </c>
      <c r="C388" s="1" t="s">
        <v>830</v>
      </c>
      <c r="D388" s="3" t="s">
        <v>1100</v>
      </c>
      <c r="E388" s="2">
        <v>46003</v>
      </c>
      <c r="F388" s="3" t="s">
        <v>525</v>
      </c>
      <c r="G388" s="3" t="s">
        <v>1134</v>
      </c>
      <c r="H388" s="32" t="s">
        <v>1124</v>
      </c>
      <c r="I388" s="3" t="s">
        <v>832</v>
      </c>
      <c r="J388" s="1" t="s">
        <v>293</v>
      </c>
      <c r="K388" s="4" t="s">
        <v>1101</v>
      </c>
      <c r="L388" s="58" t="s">
        <v>1161</v>
      </c>
      <c r="M388" s="4" t="s">
        <v>1156</v>
      </c>
      <c r="N388" s="58" t="s">
        <v>1123</v>
      </c>
      <c r="O388" s="5">
        <v>12</v>
      </c>
      <c r="P388" s="5">
        <v>1400</v>
      </c>
      <c r="Q388" s="5">
        <v>16800</v>
      </c>
      <c r="R388" s="5" t="s">
        <v>1145</v>
      </c>
      <c r="S388" s="3" t="s">
        <v>20</v>
      </c>
    </row>
    <row r="389" spans="1:19" ht="16.899999999999999" x14ac:dyDescent="0.4">
      <c r="A389" s="62" t="s">
        <v>1162</v>
      </c>
      <c r="B389" s="2">
        <v>46009</v>
      </c>
      <c r="C389" s="21" t="s">
        <v>29</v>
      </c>
      <c r="D389" s="3" t="s">
        <v>1163</v>
      </c>
      <c r="E389" s="2">
        <v>46032</v>
      </c>
      <c r="F389" s="3" t="s">
        <v>471</v>
      </c>
      <c r="G389" s="3" t="s">
        <v>1138</v>
      </c>
      <c r="H389" s="32" t="s">
        <v>1124</v>
      </c>
      <c r="I389" s="32" t="s">
        <v>504</v>
      </c>
      <c r="J389" s="1" t="s">
        <v>467</v>
      </c>
      <c r="K389" s="4" t="s">
        <v>466</v>
      </c>
      <c r="L389" s="58" t="s">
        <v>1161</v>
      </c>
      <c r="M389" s="4" t="s">
        <v>1157</v>
      </c>
      <c r="N389" s="58" t="s">
        <v>1123</v>
      </c>
      <c r="O389" s="5">
        <v>10.9</v>
      </c>
      <c r="P389" s="5">
        <v>1750</v>
      </c>
      <c r="Q389" s="5">
        <f>O389*P389</f>
        <v>19075</v>
      </c>
      <c r="R389" s="5" t="s">
        <v>1122</v>
      </c>
      <c r="S389" s="3" t="s">
        <v>1166</v>
      </c>
    </row>
    <row r="390" spans="1:19" ht="16.899999999999999" x14ac:dyDescent="0.4">
      <c r="A390" s="62" t="s">
        <v>1162</v>
      </c>
      <c r="B390" s="2">
        <v>46009</v>
      </c>
      <c r="C390" s="21" t="s">
        <v>29</v>
      </c>
      <c r="D390" s="3" t="s">
        <v>1164</v>
      </c>
      <c r="E390" s="2">
        <v>46032</v>
      </c>
      <c r="F390" s="3" t="s">
        <v>471</v>
      </c>
      <c r="G390" s="3" t="s">
        <v>1138</v>
      </c>
      <c r="H390" s="32" t="s">
        <v>1124</v>
      </c>
      <c r="I390" s="32" t="s">
        <v>504</v>
      </c>
      <c r="J390" s="1" t="s">
        <v>454</v>
      </c>
      <c r="K390" s="4" t="s">
        <v>457</v>
      </c>
      <c r="L390" s="58" t="s">
        <v>1161</v>
      </c>
      <c r="M390" s="4" t="s">
        <v>1157</v>
      </c>
      <c r="N390" s="58" t="s">
        <v>1123</v>
      </c>
      <c r="O390" s="5">
        <v>12.3</v>
      </c>
      <c r="P390" s="5">
        <v>1500</v>
      </c>
      <c r="Q390" s="5">
        <f t="shared" ref="Q390:Q391" si="0">O390*P390</f>
        <v>18450</v>
      </c>
      <c r="R390" s="5" t="s">
        <v>1122</v>
      </c>
      <c r="S390" s="3" t="s">
        <v>1167</v>
      </c>
    </row>
    <row r="391" spans="1:19" ht="16.899999999999999" x14ac:dyDescent="0.4">
      <c r="A391" s="62" t="s">
        <v>1162</v>
      </c>
      <c r="B391" s="2">
        <v>46009</v>
      </c>
      <c r="C391" s="21" t="s">
        <v>29</v>
      </c>
      <c r="D391" s="3" t="s">
        <v>1165</v>
      </c>
      <c r="E391" s="2">
        <v>46032</v>
      </c>
      <c r="F391" s="3" t="s">
        <v>471</v>
      </c>
      <c r="G391" s="3" t="s">
        <v>1138</v>
      </c>
      <c r="H391" s="32" t="s">
        <v>1124</v>
      </c>
      <c r="I391" s="32" t="s">
        <v>504</v>
      </c>
      <c r="J391" s="1" t="s">
        <v>1068</v>
      </c>
      <c r="K391" s="4" t="s">
        <v>409</v>
      </c>
      <c r="L391" s="58" t="s">
        <v>1161</v>
      </c>
      <c r="M391" s="4" t="s">
        <v>1157</v>
      </c>
      <c r="N391" s="58" t="s">
        <v>1123</v>
      </c>
      <c r="O391" s="5">
        <v>10.9</v>
      </c>
      <c r="P391" s="5">
        <v>1500</v>
      </c>
      <c r="Q391" s="5">
        <f t="shared" si="0"/>
        <v>16350</v>
      </c>
      <c r="R391" s="5" t="s">
        <v>1122</v>
      </c>
      <c r="S391" s="3" t="s">
        <v>1168</v>
      </c>
    </row>
    <row r="392" spans="1:19" x14ac:dyDescent="0.4">
      <c r="A392" s="62"/>
      <c r="E392" s="2"/>
    </row>
    <row r="393" spans="1:19" x14ac:dyDescent="0.4">
      <c r="E393" s="2"/>
    </row>
    <row r="394" spans="1:19" x14ac:dyDescent="0.4">
      <c r="E394" s="2"/>
    </row>
    <row r="395" spans="1:19" x14ac:dyDescent="0.4">
      <c r="E395" s="2"/>
    </row>
    <row r="396" spans="1:19" x14ac:dyDescent="0.4">
      <c r="E396" s="2"/>
    </row>
    <row r="397" spans="1:19" x14ac:dyDescent="0.4">
      <c r="E397" s="2"/>
    </row>
    <row r="398" spans="1:19" x14ac:dyDescent="0.4">
      <c r="E398" s="2"/>
    </row>
    <row r="399" spans="1:19" x14ac:dyDescent="0.4">
      <c r="E399" s="2"/>
    </row>
    <row r="400" spans="1:19" x14ac:dyDescent="0.4">
      <c r="E400" s="2"/>
    </row>
    <row r="401" spans="5:5" x14ac:dyDescent="0.4">
      <c r="E401" s="2"/>
    </row>
    <row r="402" spans="5:5" x14ac:dyDescent="0.4">
      <c r="E402" s="2"/>
    </row>
    <row r="403" spans="5:5" x14ac:dyDescent="0.4">
      <c r="E403" s="2"/>
    </row>
    <row r="404" spans="5:5" x14ac:dyDescent="0.4">
      <c r="E404" s="2"/>
    </row>
    <row r="405" spans="5:5" x14ac:dyDescent="0.4">
      <c r="E405" s="2"/>
    </row>
    <row r="406" spans="5:5" x14ac:dyDescent="0.4">
      <c r="E406" s="2"/>
    </row>
    <row r="407" spans="5:5" x14ac:dyDescent="0.4">
      <c r="E407" s="2"/>
    </row>
    <row r="408" spans="5:5" x14ac:dyDescent="0.4">
      <c r="E408" s="2"/>
    </row>
    <row r="409" spans="5:5" x14ac:dyDescent="0.4">
      <c r="E409" s="2"/>
    </row>
    <row r="410" spans="5:5" x14ac:dyDescent="0.4">
      <c r="E410" s="2"/>
    </row>
    <row r="411" spans="5:5" x14ac:dyDescent="0.4">
      <c r="E411" s="2"/>
    </row>
    <row r="412" spans="5:5" x14ac:dyDescent="0.4">
      <c r="E412" s="2"/>
    </row>
    <row r="413" spans="5:5" x14ac:dyDescent="0.4">
      <c r="E413" s="2"/>
    </row>
    <row r="414" spans="5:5" x14ac:dyDescent="0.4">
      <c r="E414" s="2"/>
    </row>
    <row r="415" spans="5:5" x14ac:dyDescent="0.4">
      <c r="E415" s="2"/>
    </row>
    <row r="416" spans="5:5" x14ac:dyDescent="0.4">
      <c r="E416" s="2"/>
    </row>
    <row r="417" spans="5:5" x14ac:dyDescent="0.4">
      <c r="E417" s="2"/>
    </row>
    <row r="418" spans="5:5" x14ac:dyDescent="0.4">
      <c r="E418" s="2"/>
    </row>
    <row r="419" spans="5:5" x14ac:dyDescent="0.4">
      <c r="E419" s="2"/>
    </row>
    <row r="420" spans="5:5" x14ac:dyDescent="0.4">
      <c r="E420" s="2"/>
    </row>
    <row r="421" spans="5:5" x14ac:dyDescent="0.4">
      <c r="E421" s="2"/>
    </row>
    <row r="422" spans="5:5" x14ac:dyDescent="0.4">
      <c r="E422" s="2"/>
    </row>
    <row r="423" spans="5:5" x14ac:dyDescent="0.4">
      <c r="E423" s="2"/>
    </row>
    <row r="424" spans="5:5" x14ac:dyDescent="0.4">
      <c r="E424" s="2"/>
    </row>
    <row r="425" spans="5:5" x14ac:dyDescent="0.4">
      <c r="E425" s="2"/>
    </row>
    <row r="426" spans="5:5" x14ac:dyDescent="0.4">
      <c r="E426" s="2"/>
    </row>
    <row r="427" spans="5:5" x14ac:dyDescent="0.4">
      <c r="E427" s="2"/>
    </row>
    <row r="428" spans="5:5" x14ac:dyDescent="0.4">
      <c r="E428" s="2"/>
    </row>
    <row r="429" spans="5:5" x14ac:dyDescent="0.4">
      <c r="E429" s="2"/>
    </row>
    <row r="430" spans="5:5" x14ac:dyDescent="0.4">
      <c r="E430" s="2"/>
    </row>
    <row r="431" spans="5:5" x14ac:dyDescent="0.4">
      <c r="E431" s="2"/>
    </row>
    <row r="432" spans="5:5" x14ac:dyDescent="0.4">
      <c r="E432" s="2"/>
    </row>
    <row r="433" spans="5:5" x14ac:dyDescent="0.4">
      <c r="E433" s="2"/>
    </row>
    <row r="434" spans="5:5" x14ac:dyDescent="0.4">
      <c r="E434" s="2"/>
    </row>
    <row r="435" spans="5:5" x14ac:dyDescent="0.4">
      <c r="E435" s="2"/>
    </row>
    <row r="436" spans="5:5" x14ac:dyDescent="0.4">
      <c r="E436" s="2"/>
    </row>
    <row r="437" spans="5:5" x14ac:dyDescent="0.4">
      <c r="E437" s="2"/>
    </row>
    <row r="438" spans="5:5" x14ac:dyDescent="0.4">
      <c r="E438" s="2"/>
    </row>
    <row r="439" spans="5:5" x14ac:dyDescent="0.4">
      <c r="E439" s="2"/>
    </row>
    <row r="440" spans="5:5" x14ac:dyDescent="0.4">
      <c r="E440" s="2"/>
    </row>
    <row r="441" spans="5:5" x14ac:dyDescent="0.4">
      <c r="E441" s="2"/>
    </row>
    <row r="442" spans="5:5" x14ac:dyDescent="0.4">
      <c r="E442" s="2"/>
    </row>
    <row r="443" spans="5:5" x14ac:dyDescent="0.4">
      <c r="E443" s="2"/>
    </row>
    <row r="444" spans="5:5" x14ac:dyDescent="0.4">
      <c r="E444" s="2"/>
    </row>
    <row r="445" spans="5:5" x14ac:dyDescent="0.4">
      <c r="E445" s="2"/>
    </row>
    <row r="446" spans="5:5" x14ac:dyDescent="0.4">
      <c r="E446" s="2"/>
    </row>
    <row r="447" spans="5:5" x14ac:dyDescent="0.4">
      <c r="E447" s="2"/>
    </row>
    <row r="448" spans="5:5" x14ac:dyDescent="0.4">
      <c r="E448" s="2"/>
    </row>
    <row r="449" spans="5:5" x14ac:dyDescent="0.4">
      <c r="E449" s="2"/>
    </row>
    <row r="450" spans="5:5" x14ac:dyDescent="0.4">
      <c r="E450" s="2"/>
    </row>
    <row r="451" spans="5:5" x14ac:dyDescent="0.4">
      <c r="E451" s="2"/>
    </row>
    <row r="452" spans="5:5" x14ac:dyDescent="0.4">
      <c r="E452" s="2"/>
    </row>
    <row r="453" spans="5:5" x14ac:dyDescent="0.4">
      <c r="E453" s="2"/>
    </row>
    <row r="454" spans="5:5" x14ac:dyDescent="0.4">
      <c r="E454" s="2"/>
    </row>
    <row r="455" spans="5:5" x14ac:dyDescent="0.4">
      <c r="E455" s="2"/>
    </row>
    <row r="456" spans="5:5" x14ac:dyDescent="0.4">
      <c r="E456" s="2"/>
    </row>
    <row r="457" spans="5:5" x14ac:dyDescent="0.4">
      <c r="E457" s="2"/>
    </row>
    <row r="458" spans="5:5" x14ac:dyDescent="0.4">
      <c r="E458" s="2"/>
    </row>
    <row r="459" spans="5:5" x14ac:dyDescent="0.4">
      <c r="E459" s="2"/>
    </row>
    <row r="460" spans="5:5" x14ac:dyDescent="0.4">
      <c r="E460" s="2"/>
    </row>
    <row r="461" spans="5:5" x14ac:dyDescent="0.4">
      <c r="E461" s="2"/>
    </row>
    <row r="462" spans="5:5" x14ac:dyDescent="0.4">
      <c r="E462" s="2"/>
    </row>
    <row r="463" spans="5:5" x14ac:dyDescent="0.4">
      <c r="E463" s="2"/>
    </row>
    <row r="464" spans="5:5" x14ac:dyDescent="0.4">
      <c r="E464" s="2"/>
    </row>
    <row r="465" spans="5:5" x14ac:dyDescent="0.4">
      <c r="E465" s="2"/>
    </row>
    <row r="466" spans="5:5" x14ac:dyDescent="0.4">
      <c r="E466" s="2"/>
    </row>
    <row r="467" spans="5:5" x14ac:dyDescent="0.4">
      <c r="E467" s="2"/>
    </row>
    <row r="468" spans="5:5" x14ac:dyDescent="0.4">
      <c r="E468" s="2"/>
    </row>
    <row r="469" spans="5:5" x14ac:dyDescent="0.4">
      <c r="E469" s="2"/>
    </row>
    <row r="470" spans="5:5" x14ac:dyDescent="0.4">
      <c r="E470" s="2"/>
    </row>
    <row r="471" spans="5:5" x14ac:dyDescent="0.4">
      <c r="E471" s="2"/>
    </row>
    <row r="472" spans="5:5" x14ac:dyDescent="0.4">
      <c r="E472" s="2"/>
    </row>
    <row r="473" spans="5:5" x14ac:dyDescent="0.4">
      <c r="E473" s="2"/>
    </row>
    <row r="474" spans="5:5" x14ac:dyDescent="0.4">
      <c r="E474" s="2"/>
    </row>
    <row r="475" spans="5:5" x14ac:dyDescent="0.4">
      <c r="E475" s="2"/>
    </row>
    <row r="476" spans="5:5" x14ac:dyDescent="0.4">
      <c r="E476" s="2"/>
    </row>
    <row r="477" spans="5:5" x14ac:dyDescent="0.4">
      <c r="E477" s="2"/>
    </row>
    <row r="478" spans="5:5" x14ac:dyDescent="0.4">
      <c r="E478" s="2"/>
    </row>
    <row r="479" spans="5:5" x14ac:dyDescent="0.4">
      <c r="E479" s="2"/>
    </row>
    <row r="480" spans="5:5" x14ac:dyDescent="0.4">
      <c r="E480" s="2"/>
    </row>
    <row r="481" spans="5:5" x14ac:dyDescent="0.4">
      <c r="E481" s="2"/>
    </row>
    <row r="482" spans="5:5" x14ac:dyDescent="0.4">
      <c r="E482" s="2"/>
    </row>
    <row r="483" spans="5:5" x14ac:dyDescent="0.4">
      <c r="E483" s="2"/>
    </row>
    <row r="484" spans="5:5" x14ac:dyDescent="0.4">
      <c r="E484" s="2"/>
    </row>
    <row r="485" spans="5:5" x14ac:dyDescent="0.4">
      <c r="E485" s="2"/>
    </row>
    <row r="486" spans="5:5" x14ac:dyDescent="0.4">
      <c r="E486" s="2"/>
    </row>
    <row r="487" spans="5:5" x14ac:dyDescent="0.4">
      <c r="E487" s="2"/>
    </row>
    <row r="488" spans="5:5" x14ac:dyDescent="0.4">
      <c r="E488" s="2"/>
    </row>
    <row r="489" spans="5:5" x14ac:dyDescent="0.4">
      <c r="E489" s="2"/>
    </row>
    <row r="490" spans="5:5" x14ac:dyDescent="0.4">
      <c r="E490" s="2"/>
    </row>
    <row r="491" spans="5:5" x14ac:dyDescent="0.4">
      <c r="E491" s="2"/>
    </row>
    <row r="492" spans="5:5" x14ac:dyDescent="0.4">
      <c r="E492" s="2"/>
    </row>
    <row r="493" spans="5:5" x14ac:dyDescent="0.4">
      <c r="E493" s="2"/>
    </row>
    <row r="494" spans="5:5" x14ac:dyDescent="0.4">
      <c r="E494" s="2"/>
    </row>
    <row r="495" spans="5:5" x14ac:dyDescent="0.4">
      <c r="E495" s="2"/>
    </row>
    <row r="496" spans="5:5" x14ac:dyDescent="0.4">
      <c r="E496" s="2"/>
    </row>
    <row r="497" spans="5:5" x14ac:dyDescent="0.4">
      <c r="E497" s="2"/>
    </row>
    <row r="498" spans="5:5" x14ac:dyDescent="0.4">
      <c r="E498" s="2"/>
    </row>
    <row r="499" spans="5:5" x14ac:dyDescent="0.4">
      <c r="E499" s="2"/>
    </row>
    <row r="500" spans="5:5" x14ac:dyDescent="0.4">
      <c r="E500" s="2"/>
    </row>
    <row r="501" spans="5:5" x14ac:dyDescent="0.4">
      <c r="E501" s="2"/>
    </row>
    <row r="502" spans="5:5" x14ac:dyDescent="0.4">
      <c r="E502" s="2"/>
    </row>
    <row r="503" spans="5:5" x14ac:dyDescent="0.4">
      <c r="E503" s="2"/>
    </row>
    <row r="504" spans="5:5" x14ac:dyDescent="0.4">
      <c r="E504" s="2"/>
    </row>
    <row r="505" spans="5:5" x14ac:dyDescent="0.4">
      <c r="E505" s="2"/>
    </row>
    <row r="506" spans="5:5" x14ac:dyDescent="0.4">
      <c r="E506" s="2"/>
    </row>
    <row r="507" spans="5:5" x14ac:dyDescent="0.4">
      <c r="E507" s="2"/>
    </row>
    <row r="508" spans="5:5" x14ac:dyDescent="0.4">
      <c r="E508" s="2"/>
    </row>
    <row r="509" spans="5:5" x14ac:dyDescent="0.4">
      <c r="E509" s="2"/>
    </row>
    <row r="510" spans="5:5" x14ac:dyDescent="0.4">
      <c r="E510" s="2"/>
    </row>
    <row r="511" spans="5:5" x14ac:dyDescent="0.4">
      <c r="E511" s="2"/>
    </row>
    <row r="512" spans="5:5" x14ac:dyDescent="0.4">
      <c r="E512" s="2"/>
    </row>
    <row r="513" spans="5:5" x14ac:dyDescent="0.4">
      <c r="E513" s="2"/>
    </row>
    <row r="514" spans="5:5" x14ac:dyDescent="0.4">
      <c r="E514" s="2"/>
    </row>
    <row r="515" spans="5:5" x14ac:dyDescent="0.4">
      <c r="E515" s="2"/>
    </row>
    <row r="516" spans="5:5" x14ac:dyDescent="0.4">
      <c r="E516" s="2"/>
    </row>
    <row r="517" spans="5:5" x14ac:dyDescent="0.4">
      <c r="E517" s="2"/>
    </row>
    <row r="518" spans="5:5" x14ac:dyDescent="0.4">
      <c r="E518" s="2"/>
    </row>
    <row r="519" spans="5:5" x14ac:dyDescent="0.4">
      <c r="E519" s="2"/>
    </row>
    <row r="520" spans="5:5" x14ac:dyDescent="0.4">
      <c r="E520" s="2"/>
    </row>
    <row r="521" spans="5:5" x14ac:dyDescent="0.4">
      <c r="E521" s="2"/>
    </row>
    <row r="522" spans="5:5" x14ac:dyDescent="0.4">
      <c r="E522" s="2"/>
    </row>
    <row r="523" spans="5:5" x14ac:dyDescent="0.4">
      <c r="E523" s="2"/>
    </row>
    <row r="524" spans="5:5" x14ac:dyDescent="0.4">
      <c r="E524" s="2"/>
    </row>
    <row r="525" spans="5:5" x14ac:dyDescent="0.4">
      <c r="E525" s="2"/>
    </row>
    <row r="526" spans="5:5" x14ac:dyDescent="0.4">
      <c r="E526" s="2"/>
    </row>
    <row r="527" spans="5:5" x14ac:dyDescent="0.4">
      <c r="E527" s="2"/>
    </row>
    <row r="528" spans="5:5" x14ac:dyDescent="0.4">
      <c r="E528" s="2"/>
    </row>
    <row r="529" spans="5:5" x14ac:dyDescent="0.4">
      <c r="E529" s="2"/>
    </row>
    <row r="530" spans="5:5" x14ac:dyDescent="0.4">
      <c r="E530" s="2"/>
    </row>
    <row r="531" spans="5:5" x14ac:dyDescent="0.4">
      <c r="E531" s="2"/>
    </row>
    <row r="532" spans="5:5" x14ac:dyDescent="0.4">
      <c r="E532" s="2"/>
    </row>
    <row r="533" spans="5:5" x14ac:dyDescent="0.4">
      <c r="E533" s="2"/>
    </row>
    <row r="534" spans="5:5" x14ac:dyDescent="0.4">
      <c r="E534" s="2"/>
    </row>
    <row r="535" spans="5:5" x14ac:dyDescent="0.4">
      <c r="E535" s="2"/>
    </row>
    <row r="536" spans="5:5" x14ac:dyDescent="0.4">
      <c r="E536" s="2"/>
    </row>
    <row r="537" spans="5:5" x14ac:dyDescent="0.4">
      <c r="E537" s="2"/>
    </row>
    <row r="538" spans="5:5" x14ac:dyDescent="0.4">
      <c r="E538" s="2"/>
    </row>
    <row r="539" spans="5:5" x14ac:dyDescent="0.4">
      <c r="E539" s="2"/>
    </row>
    <row r="540" spans="5:5" x14ac:dyDescent="0.4">
      <c r="E540" s="2"/>
    </row>
    <row r="541" spans="5:5" x14ac:dyDescent="0.4">
      <c r="E541" s="2"/>
    </row>
    <row r="542" spans="5:5" x14ac:dyDescent="0.4">
      <c r="E542" s="2"/>
    </row>
    <row r="543" spans="5:5" x14ac:dyDescent="0.4">
      <c r="E543" s="2"/>
    </row>
    <row r="544" spans="5:5" x14ac:dyDescent="0.4">
      <c r="E544" s="2"/>
    </row>
    <row r="545" spans="5:5" x14ac:dyDescent="0.4">
      <c r="E545" s="2"/>
    </row>
    <row r="546" spans="5:5" x14ac:dyDescent="0.4">
      <c r="E546" s="2"/>
    </row>
    <row r="547" spans="5:5" x14ac:dyDescent="0.4">
      <c r="E547" s="2"/>
    </row>
    <row r="548" spans="5:5" x14ac:dyDescent="0.4">
      <c r="E548" s="2"/>
    </row>
    <row r="549" spans="5:5" x14ac:dyDescent="0.4">
      <c r="E549" s="2"/>
    </row>
    <row r="550" spans="5:5" x14ac:dyDescent="0.4">
      <c r="E550" s="2"/>
    </row>
    <row r="551" spans="5:5" x14ac:dyDescent="0.4">
      <c r="E551" s="2"/>
    </row>
    <row r="552" spans="5:5" x14ac:dyDescent="0.4">
      <c r="E552" s="2"/>
    </row>
    <row r="553" spans="5:5" x14ac:dyDescent="0.4">
      <c r="E553" s="2"/>
    </row>
    <row r="554" spans="5:5" x14ac:dyDescent="0.4">
      <c r="E554" s="2"/>
    </row>
    <row r="555" spans="5:5" x14ac:dyDescent="0.4">
      <c r="E555" s="2"/>
    </row>
    <row r="556" spans="5:5" x14ac:dyDescent="0.4">
      <c r="E556" s="2"/>
    </row>
    <row r="557" spans="5:5" x14ac:dyDescent="0.4">
      <c r="E557" s="2"/>
    </row>
    <row r="558" spans="5:5" x14ac:dyDescent="0.4">
      <c r="E558" s="2"/>
    </row>
    <row r="559" spans="5:5" x14ac:dyDescent="0.4">
      <c r="E559" s="2"/>
    </row>
    <row r="560" spans="5:5" x14ac:dyDescent="0.4">
      <c r="E560" s="2"/>
    </row>
    <row r="561" spans="5:5" x14ac:dyDescent="0.4">
      <c r="E561" s="2"/>
    </row>
    <row r="562" spans="5:5" x14ac:dyDescent="0.4">
      <c r="E562" s="2"/>
    </row>
    <row r="563" spans="5:5" x14ac:dyDescent="0.4">
      <c r="E563" s="2"/>
    </row>
    <row r="564" spans="5:5" x14ac:dyDescent="0.4">
      <c r="E564" s="2"/>
    </row>
    <row r="565" spans="5:5" x14ac:dyDescent="0.4">
      <c r="E565" s="2"/>
    </row>
    <row r="566" spans="5:5" x14ac:dyDescent="0.4">
      <c r="E566" s="2"/>
    </row>
    <row r="567" spans="5:5" x14ac:dyDescent="0.4">
      <c r="E567" s="2"/>
    </row>
    <row r="568" spans="5:5" x14ac:dyDescent="0.4">
      <c r="E568" s="2"/>
    </row>
    <row r="569" spans="5:5" x14ac:dyDescent="0.4">
      <c r="E569" s="2"/>
    </row>
    <row r="570" spans="5:5" x14ac:dyDescent="0.4">
      <c r="E570" s="2"/>
    </row>
    <row r="571" spans="5:5" x14ac:dyDescent="0.4">
      <c r="E571" s="2"/>
    </row>
    <row r="572" spans="5:5" x14ac:dyDescent="0.4">
      <c r="E572" s="2"/>
    </row>
    <row r="573" spans="5:5" x14ac:dyDescent="0.4">
      <c r="E573" s="2"/>
    </row>
    <row r="574" spans="5:5" x14ac:dyDescent="0.4">
      <c r="E574" s="2"/>
    </row>
    <row r="575" spans="5:5" x14ac:dyDescent="0.4">
      <c r="E575" s="2"/>
    </row>
    <row r="576" spans="5:5" x14ac:dyDescent="0.4">
      <c r="E576" s="2"/>
    </row>
    <row r="577" spans="5:5" x14ac:dyDescent="0.4">
      <c r="E577" s="2"/>
    </row>
    <row r="578" spans="5:5" x14ac:dyDescent="0.4">
      <c r="E578" s="2"/>
    </row>
    <row r="579" spans="5:5" x14ac:dyDescent="0.4">
      <c r="E579" s="2"/>
    </row>
    <row r="580" spans="5:5" x14ac:dyDescent="0.4">
      <c r="E580" s="2"/>
    </row>
    <row r="581" spans="5:5" x14ac:dyDescent="0.4">
      <c r="E581" s="2"/>
    </row>
    <row r="582" spans="5:5" x14ac:dyDescent="0.4">
      <c r="E582" s="2"/>
    </row>
    <row r="583" spans="5:5" x14ac:dyDescent="0.4">
      <c r="E583" s="2"/>
    </row>
    <row r="584" spans="5:5" x14ac:dyDescent="0.4">
      <c r="E584" s="2"/>
    </row>
    <row r="585" spans="5:5" x14ac:dyDescent="0.4">
      <c r="E585" s="2"/>
    </row>
    <row r="586" spans="5:5" x14ac:dyDescent="0.4">
      <c r="E586" s="2"/>
    </row>
    <row r="587" spans="5:5" x14ac:dyDescent="0.4">
      <c r="E587" s="2"/>
    </row>
    <row r="588" spans="5:5" x14ac:dyDescent="0.4">
      <c r="E588" s="2"/>
    </row>
    <row r="589" spans="5:5" x14ac:dyDescent="0.4">
      <c r="E589" s="2"/>
    </row>
    <row r="590" spans="5:5" x14ac:dyDescent="0.4">
      <c r="E590" s="2"/>
    </row>
    <row r="591" spans="5:5" x14ac:dyDescent="0.4">
      <c r="E591" s="2"/>
    </row>
    <row r="592" spans="5:5" x14ac:dyDescent="0.4">
      <c r="E592" s="2"/>
    </row>
    <row r="593" spans="5:5" x14ac:dyDescent="0.4">
      <c r="E593" s="2"/>
    </row>
    <row r="594" spans="5:5" x14ac:dyDescent="0.4">
      <c r="E594" s="2"/>
    </row>
    <row r="595" spans="5:5" x14ac:dyDescent="0.4">
      <c r="E595" s="2"/>
    </row>
    <row r="596" spans="5:5" x14ac:dyDescent="0.4">
      <c r="E596" s="2"/>
    </row>
    <row r="597" spans="5:5" x14ac:dyDescent="0.4">
      <c r="E597" s="2"/>
    </row>
    <row r="598" spans="5:5" x14ac:dyDescent="0.4">
      <c r="E598" s="2"/>
    </row>
    <row r="599" spans="5:5" x14ac:dyDescent="0.4">
      <c r="E599" s="2"/>
    </row>
    <row r="600" spans="5:5" x14ac:dyDescent="0.4">
      <c r="E600" s="2"/>
    </row>
    <row r="601" spans="5:5" x14ac:dyDescent="0.4">
      <c r="E601" s="2"/>
    </row>
    <row r="602" spans="5:5" x14ac:dyDescent="0.4">
      <c r="E602" s="2"/>
    </row>
    <row r="603" spans="5:5" x14ac:dyDescent="0.4">
      <c r="E603" s="2"/>
    </row>
    <row r="604" spans="5:5" x14ac:dyDescent="0.4">
      <c r="E604" s="2"/>
    </row>
    <row r="605" spans="5:5" x14ac:dyDescent="0.4">
      <c r="E605" s="2"/>
    </row>
    <row r="606" spans="5:5" x14ac:dyDescent="0.4">
      <c r="E606" s="2"/>
    </row>
    <row r="607" spans="5:5" x14ac:dyDescent="0.4">
      <c r="E607" s="2"/>
    </row>
    <row r="608" spans="5:5" x14ac:dyDescent="0.4">
      <c r="E608" s="2"/>
    </row>
    <row r="609" spans="5:5" x14ac:dyDescent="0.4">
      <c r="E609" s="2"/>
    </row>
    <row r="610" spans="5:5" x14ac:dyDescent="0.4">
      <c r="E610" s="2"/>
    </row>
    <row r="611" spans="5:5" x14ac:dyDescent="0.4">
      <c r="E611" s="2"/>
    </row>
    <row r="612" spans="5:5" x14ac:dyDescent="0.4">
      <c r="E612" s="2"/>
    </row>
    <row r="613" spans="5:5" x14ac:dyDescent="0.4">
      <c r="E613" s="2"/>
    </row>
    <row r="614" spans="5:5" x14ac:dyDescent="0.4">
      <c r="E614" s="2"/>
    </row>
    <row r="615" spans="5:5" x14ac:dyDescent="0.4">
      <c r="E615" s="2"/>
    </row>
    <row r="616" spans="5:5" x14ac:dyDescent="0.4">
      <c r="E616" s="2"/>
    </row>
    <row r="617" spans="5:5" x14ac:dyDescent="0.4">
      <c r="E617" s="2"/>
    </row>
    <row r="618" spans="5:5" x14ac:dyDescent="0.4">
      <c r="E618" s="2"/>
    </row>
    <row r="619" spans="5:5" x14ac:dyDescent="0.4">
      <c r="E619" s="2"/>
    </row>
    <row r="620" spans="5:5" x14ac:dyDescent="0.4">
      <c r="E620" s="2"/>
    </row>
    <row r="621" spans="5:5" x14ac:dyDescent="0.4">
      <c r="E621" s="2"/>
    </row>
    <row r="622" spans="5:5" x14ac:dyDescent="0.4">
      <c r="E622" s="2"/>
    </row>
    <row r="623" spans="5:5" x14ac:dyDescent="0.4">
      <c r="E623" s="2"/>
    </row>
    <row r="624" spans="5:5" x14ac:dyDescent="0.4">
      <c r="E624" s="2"/>
    </row>
    <row r="625" spans="5:5" x14ac:dyDescent="0.4">
      <c r="E625" s="2"/>
    </row>
    <row r="626" spans="5:5" x14ac:dyDescent="0.4">
      <c r="E626" s="2"/>
    </row>
    <row r="627" spans="5:5" x14ac:dyDescent="0.4">
      <c r="E627" s="2"/>
    </row>
    <row r="628" spans="5:5" x14ac:dyDescent="0.4">
      <c r="E628" s="2"/>
    </row>
    <row r="629" spans="5:5" x14ac:dyDescent="0.4">
      <c r="E629" s="2"/>
    </row>
    <row r="630" spans="5:5" x14ac:dyDescent="0.4">
      <c r="E630" s="2"/>
    </row>
    <row r="631" spans="5:5" x14ac:dyDescent="0.4">
      <c r="E631" s="2"/>
    </row>
    <row r="632" spans="5:5" x14ac:dyDescent="0.4">
      <c r="E632" s="2"/>
    </row>
    <row r="633" spans="5:5" x14ac:dyDescent="0.4">
      <c r="E633" s="2"/>
    </row>
    <row r="634" spans="5:5" x14ac:dyDescent="0.4">
      <c r="E634" s="2"/>
    </row>
    <row r="635" spans="5:5" x14ac:dyDescent="0.4">
      <c r="E635" s="2"/>
    </row>
    <row r="636" spans="5:5" x14ac:dyDescent="0.4">
      <c r="E636" s="2"/>
    </row>
    <row r="637" spans="5:5" x14ac:dyDescent="0.4">
      <c r="E637" s="2"/>
    </row>
    <row r="638" spans="5:5" x14ac:dyDescent="0.4">
      <c r="E638" s="2"/>
    </row>
    <row r="639" spans="5:5" x14ac:dyDescent="0.4">
      <c r="E639" s="2"/>
    </row>
    <row r="640" spans="5:5" x14ac:dyDescent="0.4">
      <c r="E640" s="2"/>
    </row>
    <row r="641" spans="5:5" x14ac:dyDescent="0.4">
      <c r="E641" s="2"/>
    </row>
    <row r="642" spans="5:5" x14ac:dyDescent="0.4">
      <c r="E642" s="2"/>
    </row>
    <row r="643" spans="5:5" x14ac:dyDescent="0.4">
      <c r="E643" s="2"/>
    </row>
    <row r="644" spans="5:5" x14ac:dyDescent="0.4">
      <c r="E644" s="2"/>
    </row>
    <row r="645" spans="5:5" x14ac:dyDescent="0.4">
      <c r="E645" s="2"/>
    </row>
    <row r="646" spans="5:5" x14ac:dyDescent="0.4">
      <c r="E646" s="2"/>
    </row>
    <row r="647" spans="5:5" x14ac:dyDescent="0.4">
      <c r="E647" s="2"/>
    </row>
    <row r="648" spans="5:5" x14ac:dyDescent="0.4">
      <c r="E648" s="2"/>
    </row>
    <row r="649" spans="5:5" x14ac:dyDescent="0.4">
      <c r="E649" s="2"/>
    </row>
    <row r="650" spans="5:5" x14ac:dyDescent="0.4">
      <c r="E650" s="2"/>
    </row>
    <row r="651" spans="5:5" x14ac:dyDescent="0.4">
      <c r="E651" s="2"/>
    </row>
    <row r="652" spans="5:5" x14ac:dyDescent="0.4">
      <c r="E652" s="2"/>
    </row>
    <row r="653" spans="5:5" x14ac:dyDescent="0.4">
      <c r="E653" s="2"/>
    </row>
    <row r="654" spans="5:5" x14ac:dyDescent="0.4">
      <c r="E654" s="2"/>
    </row>
    <row r="655" spans="5:5" x14ac:dyDescent="0.4">
      <c r="E655" s="2"/>
    </row>
    <row r="656" spans="5:5" x14ac:dyDescent="0.4">
      <c r="E656" s="2"/>
    </row>
    <row r="657" spans="5:5" x14ac:dyDescent="0.4">
      <c r="E657" s="2"/>
    </row>
    <row r="658" spans="5:5" x14ac:dyDescent="0.4">
      <c r="E658" s="2"/>
    </row>
    <row r="659" spans="5:5" x14ac:dyDescent="0.4">
      <c r="E659" s="2"/>
    </row>
    <row r="660" spans="5:5" x14ac:dyDescent="0.4">
      <c r="E660" s="2"/>
    </row>
    <row r="661" spans="5:5" x14ac:dyDescent="0.4">
      <c r="E661" s="2"/>
    </row>
    <row r="662" spans="5:5" x14ac:dyDescent="0.4">
      <c r="E662" s="2"/>
    </row>
    <row r="663" spans="5:5" x14ac:dyDescent="0.4">
      <c r="E663" s="2"/>
    </row>
    <row r="664" spans="5:5" x14ac:dyDescent="0.4">
      <c r="E664" s="2"/>
    </row>
    <row r="665" spans="5:5" x14ac:dyDescent="0.4">
      <c r="E665" s="2"/>
    </row>
    <row r="666" spans="5:5" x14ac:dyDescent="0.4">
      <c r="E666" s="2"/>
    </row>
    <row r="667" spans="5:5" x14ac:dyDescent="0.4">
      <c r="E667" s="2"/>
    </row>
    <row r="668" spans="5:5" x14ac:dyDescent="0.4">
      <c r="E668" s="2"/>
    </row>
    <row r="669" spans="5:5" x14ac:dyDescent="0.4">
      <c r="E669" s="2"/>
    </row>
    <row r="670" spans="5:5" x14ac:dyDescent="0.4">
      <c r="E670" s="2"/>
    </row>
    <row r="671" spans="5:5" x14ac:dyDescent="0.4">
      <c r="E671" s="2"/>
    </row>
    <row r="672" spans="5:5" x14ac:dyDescent="0.4">
      <c r="E672" s="2"/>
    </row>
    <row r="673" spans="5:5" x14ac:dyDescent="0.4">
      <c r="E673" s="2"/>
    </row>
    <row r="674" spans="5:5" x14ac:dyDescent="0.4">
      <c r="E674" s="2"/>
    </row>
    <row r="675" spans="5:5" x14ac:dyDescent="0.4">
      <c r="E675" s="2"/>
    </row>
    <row r="676" spans="5:5" x14ac:dyDescent="0.4">
      <c r="E676" s="2"/>
    </row>
    <row r="677" spans="5:5" x14ac:dyDescent="0.4">
      <c r="E677" s="2"/>
    </row>
    <row r="678" spans="5:5" x14ac:dyDescent="0.4">
      <c r="E678" s="2"/>
    </row>
    <row r="679" spans="5:5" x14ac:dyDescent="0.4">
      <c r="E679" s="2"/>
    </row>
    <row r="680" spans="5:5" x14ac:dyDescent="0.4">
      <c r="E680" s="2"/>
    </row>
    <row r="681" spans="5:5" x14ac:dyDescent="0.4">
      <c r="E681" s="2"/>
    </row>
    <row r="682" spans="5:5" x14ac:dyDescent="0.4">
      <c r="E682" s="2"/>
    </row>
    <row r="683" spans="5:5" x14ac:dyDescent="0.4">
      <c r="E683" s="2"/>
    </row>
    <row r="684" spans="5:5" x14ac:dyDescent="0.4">
      <c r="E684" s="2"/>
    </row>
    <row r="685" spans="5:5" x14ac:dyDescent="0.4">
      <c r="E685" s="2"/>
    </row>
    <row r="686" spans="5:5" x14ac:dyDescent="0.4">
      <c r="E686" s="2"/>
    </row>
    <row r="687" spans="5:5" x14ac:dyDescent="0.4">
      <c r="E687" s="2"/>
    </row>
    <row r="688" spans="5:5" x14ac:dyDescent="0.4">
      <c r="E688" s="2"/>
    </row>
    <row r="689" spans="5:5" x14ac:dyDescent="0.4">
      <c r="E689" s="2"/>
    </row>
    <row r="690" spans="5:5" x14ac:dyDescent="0.4">
      <c r="E690" s="2"/>
    </row>
    <row r="691" spans="5:5" x14ac:dyDescent="0.4">
      <c r="E691" s="2"/>
    </row>
    <row r="692" spans="5:5" x14ac:dyDescent="0.4">
      <c r="E692" s="2"/>
    </row>
    <row r="693" spans="5:5" x14ac:dyDescent="0.4">
      <c r="E693" s="2"/>
    </row>
    <row r="694" spans="5:5" x14ac:dyDescent="0.4">
      <c r="E694" s="2"/>
    </row>
    <row r="695" spans="5:5" x14ac:dyDescent="0.4">
      <c r="E695" s="2"/>
    </row>
    <row r="696" spans="5:5" x14ac:dyDescent="0.4">
      <c r="E696" s="2"/>
    </row>
    <row r="697" spans="5:5" x14ac:dyDescent="0.4">
      <c r="E697" s="2"/>
    </row>
    <row r="698" spans="5:5" x14ac:dyDescent="0.4">
      <c r="E698" s="2"/>
    </row>
    <row r="699" spans="5:5" x14ac:dyDescent="0.4">
      <c r="E699" s="2"/>
    </row>
    <row r="700" spans="5:5" x14ac:dyDescent="0.4">
      <c r="E700" s="2"/>
    </row>
    <row r="701" spans="5:5" x14ac:dyDescent="0.4">
      <c r="E701" s="2"/>
    </row>
    <row r="702" spans="5:5" x14ac:dyDescent="0.4">
      <c r="E702" s="2"/>
    </row>
    <row r="703" spans="5:5" x14ac:dyDescent="0.4">
      <c r="E703" s="2"/>
    </row>
    <row r="704" spans="5:5" x14ac:dyDescent="0.4">
      <c r="E704" s="2"/>
    </row>
    <row r="705" spans="5:5" x14ac:dyDescent="0.4">
      <c r="E705" s="2"/>
    </row>
    <row r="706" spans="5:5" x14ac:dyDescent="0.4">
      <c r="E706" s="2"/>
    </row>
    <row r="707" spans="5:5" x14ac:dyDescent="0.4">
      <c r="E707" s="2"/>
    </row>
    <row r="708" spans="5:5" x14ac:dyDescent="0.4">
      <c r="E708" s="2"/>
    </row>
    <row r="709" spans="5:5" x14ac:dyDescent="0.4">
      <c r="E709" s="2"/>
    </row>
    <row r="710" spans="5:5" x14ac:dyDescent="0.4">
      <c r="E710" s="2"/>
    </row>
    <row r="711" spans="5:5" x14ac:dyDescent="0.4">
      <c r="E711" s="2"/>
    </row>
    <row r="712" spans="5:5" x14ac:dyDescent="0.4">
      <c r="E712" s="2"/>
    </row>
    <row r="713" spans="5:5" x14ac:dyDescent="0.4">
      <c r="E713" s="2"/>
    </row>
    <row r="714" spans="5:5" x14ac:dyDescent="0.4">
      <c r="E714" s="2"/>
    </row>
    <row r="715" spans="5:5" x14ac:dyDescent="0.4">
      <c r="E715" s="2"/>
    </row>
    <row r="716" spans="5:5" x14ac:dyDescent="0.4">
      <c r="E716" s="2"/>
    </row>
    <row r="717" spans="5:5" x14ac:dyDescent="0.4">
      <c r="E717" s="2"/>
    </row>
    <row r="718" spans="5:5" x14ac:dyDescent="0.4">
      <c r="E718" s="2"/>
    </row>
    <row r="719" spans="5:5" x14ac:dyDescent="0.4">
      <c r="E719" s="2"/>
    </row>
    <row r="720" spans="5:5" x14ac:dyDescent="0.4">
      <c r="E720" s="2"/>
    </row>
    <row r="721" spans="5:5" x14ac:dyDescent="0.4">
      <c r="E721" s="2"/>
    </row>
    <row r="722" spans="5:5" x14ac:dyDescent="0.4">
      <c r="E722" s="2"/>
    </row>
    <row r="723" spans="5:5" x14ac:dyDescent="0.4">
      <c r="E723" s="2"/>
    </row>
    <row r="724" spans="5:5" x14ac:dyDescent="0.4">
      <c r="E724" s="2"/>
    </row>
    <row r="725" spans="5:5" x14ac:dyDescent="0.4">
      <c r="E725" s="2"/>
    </row>
    <row r="726" spans="5:5" x14ac:dyDescent="0.4">
      <c r="E726" s="2"/>
    </row>
    <row r="727" spans="5:5" x14ac:dyDescent="0.4">
      <c r="E727" s="2"/>
    </row>
    <row r="728" spans="5:5" x14ac:dyDescent="0.4">
      <c r="E728" s="2"/>
    </row>
    <row r="729" spans="5:5" x14ac:dyDescent="0.4">
      <c r="E729" s="2"/>
    </row>
    <row r="730" spans="5:5" x14ac:dyDescent="0.4">
      <c r="E730" s="2"/>
    </row>
    <row r="731" spans="5:5" x14ac:dyDescent="0.4">
      <c r="E731" s="2"/>
    </row>
    <row r="732" spans="5:5" x14ac:dyDescent="0.4">
      <c r="E732" s="2"/>
    </row>
    <row r="733" spans="5:5" x14ac:dyDescent="0.4">
      <c r="E733" s="2"/>
    </row>
    <row r="734" spans="5:5" x14ac:dyDescent="0.4">
      <c r="E734" s="2"/>
    </row>
    <row r="735" spans="5:5" x14ac:dyDescent="0.4">
      <c r="E735" s="2"/>
    </row>
    <row r="736" spans="5:5" x14ac:dyDescent="0.4">
      <c r="E736" s="2"/>
    </row>
    <row r="737" spans="5:5" x14ac:dyDescent="0.4">
      <c r="E737" s="2"/>
    </row>
    <row r="738" spans="5:5" x14ac:dyDescent="0.4">
      <c r="E738" s="2"/>
    </row>
    <row r="739" spans="5:5" x14ac:dyDescent="0.4">
      <c r="E739" s="2"/>
    </row>
    <row r="740" spans="5:5" x14ac:dyDescent="0.4">
      <c r="E740" s="2"/>
    </row>
    <row r="741" spans="5:5" x14ac:dyDescent="0.4">
      <c r="E741" s="2"/>
    </row>
    <row r="742" spans="5:5" x14ac:dyDescent="0.4">
      <c r="E742" s="2"/>
    </row>
    <row r="743" spans="5:5" x14ac:dyDescent="0.4">
      <c r="E743" s="2"/>
    </row>
    <row r="744" spans="5:5" x14ac:dyDescent="0.4">
      <c r="E744" s="2"/>
    </row>
    <row r="745" spans="5:5" x14ac:dyDescent="0.4">
      <c r="E745" s="2"/>
    </row>
    <row r="746" spans="5:5" x14ac:dyDescent="0.4">
      <c r="E746" s="2"/>
    </row>
    <row r="747" spans="5:5" x14ac:dyDescent="0.4">
      <c r="E747" s="2"/>
    </row>
    <row r="748" spans="5:5" x14ac:dyDescent="0.4">
      <c r="E748" s="2"/>
    </row>
    <row r="749" spans="5:5" x14ac:dyDescent="0.4">
      <c r="E749" s="2"/>
    </row>
    <row r="750" spans="5:5" x14ac:dyDescent="0.4">
      <c r="E750" s="2"/>
    </row>
    <row r="751" spans="5:5" x14ac:dyDescent="0.4">
      <c r="E751" s="2"/>
    </row>
    <row r="752" spans="5:5" x14ac:dyDescent="0.4">
      <c r="E752" s="2"/>
    </row>
    <row r="753" spans="5:5" x14ac:dyDescent="0.4">
      <c r="E753" s="2"/>
    </row>
    <row r="754" spans="5:5" x14ac:dyDescent="0.4">
      <c r="E754" s="2"/>
    </row>
    <row r="755" spans="5:5" x14ac:dyDescent="0.4">
      <c r="E755" s="2"/>
    </row>
    <row r="756" spans="5:5" x14ac:dyDescent="0.4">
      <c r="E756" s="2"/>
    </row>
    <row r="757" spans="5:5" x14ac:dyDescent="0.4">
      <c r="E757" s="2"/>
    </row>
    <row r="758" spans="5:5" x14ac:dyDescent="0.4">
      <c r="E758" s="2"/>
    </row>
    <row r="759" spans="5:5" x14ac:dyDescent="0.4">
      <c r="E759" s="2"/>
    </row>
    <row r="760" spans="5:5" x14ac:dyDescent="0.4">
      <c r="E760" s="2"/>
    </row>
    <row r="761" spans="5:5" x14ac:dyDescent="0.4">
      <c r="E761" s="2"/>
    </row>
    <row r="762" spans="5:5" x14ac:dyDescent="0.4">
      <c r="E762" s="2"/>
    </row>
    <row r="763" spans="5:5" x14ac:dyDescent="0.4">
      <c r="E763" s="2"/>
    </row>
    <row r="764" spans="5:5" x14ac:dyDescent="0.4">
      <c r="E764" s="2"/>
    </row>
    <row r="765" spans="5:5" x14ac:dyDescent="0.4">
      <c r="E765" s="2"/>
    </row>
    <row r="766" spans="5:5" x14ac:dyDescent="0.4">
      <c r="E766" s="2"/>
    </row>
    <row r="767" spans="5:5" x14ac:dyDescent="0.4">
      <c r="E767" s="2"/>
    </row>
    <row r="768" spans="5:5" x14ac:dyDescent="0.4">
      <c r="E768" s="2"/>
    </row>
    <row r="769" spans="5:5" x14ac:dyDescent="0.4">
      <c r="E769" s="2"/>
    </row>
    <row r="770" spans="5:5" x14ac:dyDescent="0.4">
      <c r="E770" s="2"/>
    </row>
    <row r="771" spans="5:5" x14ac:dyDescent="0.4">
      <c r="E771" s="2"/>
    </row>
    <row r="772" spans="5:5" x14ac:dyDescent="0.4">
      <c r="E772" s="2"/>
    </row>
    <row r="773" spans="5:5" x14ac:dyDescent="0.4">
      <c r="E773" s="2"/>
    </row>
    <row r="774" spans="5:5" x14ac:dyDescent="0.4">
      <c r="E774" s="2"/>
    </row>
    <row r="775" spans="5:5" x14ac:dyDescent="0.4">
      <c r="E775" s="2"/>
    </row>
    <row r="776" spans="5:5" x14ac:dyDescent="0.4">
      <c r="E776" s="2"/>
    </row>
    <row r="777" spans="5:5" x14ac:dyDescent="0.4">
      <c r="E777" s="2"/>
    </row>
    <row r="778" spans="5:5" x14ac:dyDescent="0.4">
      <c r="E778" s="2"/>
    </row>
    <row r="779" spans="5:5" x14ac:dyDescent="0.4">
      <c r="E779" s="2"/>
    </row>
    <row r="780" spans="5:5" x14ac:dyDescent="0.4">
      <c r="E780" s="2"/>
    </row>
    <row r="781" spans="5:5" x14ac:dyDescent="0.4">
      <c r="E781" s="2"/>
    </row>
    <row r="782" spans="5:5" x14ac:dyDescent="0.4">
      <c r="E782" s="2"/>
    </row>
    <row r="783" spans="5:5" x14ac:dyDescent="0.4">
      <c r="E783" s="2"/>
    </row>
    <row r="784" spans="5:5" x14ac:dyDescent="0.4">
      <c r="E784" s="2"/>
    </row>
    <row r="785" spans="5:5" x14ac:dyDescent="0.4">
      <c r="E785" s="2"/>
    </row>
    <row r="786" spans="5:5" x14ac:dyDescent="0.4">
      <c r="E786" s="2"/>
    </row>
    <row r="787" spans="5:5" x14ac:dyDescent="0.4">
      <c r="E787" s="2"/>
    </row>
    <row r="788" spans="5:5" x14ac:dyDescent="0.4">
      <c r="E788" s="2"/>
    </row>
    <row r="789" spans="5:5" x14ac:dyDescent="0.4">
      <c r="E789" s="2"/>
    </row>
    <row r="790" spans="5:5" x14ac:dyDescent="0.4">
      <c r="E790" s="2"/>
    </row>
    <row r="791" spans="5:5" x14ac:dyDescent="0.4">
      <c r="E791" s="2"/>
    </row>
    <row r="792" spans="5:5" x14ac:dyDescent="0.4">
      <c r="E792" s="2"/>
    </row>
    <row r="793" spans="5:5" x14ac:dyDescent="0.4">
      <c r="E793" s="2"/>
    </row>
    <row r="794" spans="5:5" x14ac:dyDescent="0.4">
      <c r="E794" s="2"/>
    </row>
    <row r="795" spans="5:5" x14ac:dyDescent="0.4">
      <c r="E795" s="2"/>
    </row>
    <row r="796" spans="5:5" x14ac:dyDescent="0.4">
      <c r="E796" s="2"/>
    </row>
    <row r="797" spans="5:5" x14ac:dyDescent="0.4">
      <c r="E797" s="2"/>
    </row>
    <row r="798" spans="5:5" x14ac:dyDescent="0.4">
      <c r="E798" s="2"/>
    </row>
    <row r="799" spans="5:5" x14ac:dyDescent="0.4">
      <c r="E799" s="2"/>
    </row>
    <row r="800" spans="5:5" x14ac:dyDescent="0.4">
      <c r="E800" s="2"/>
    </row>
    <row r="801" spans="5:5" x14ac:dyDescent="0.4">
      <c r="E801" s="2"/>
    </row>
    <row r="802" spans="5:5" x14ac:dyDescent="0.4">
      <c r="E802" s="2"/>
    </row>
    <row r="803" spans="5:5" x14ac:dyDescent="0.4">
      <c r="E803" s="2"/>
    </row>
    <row r="804" spans="5:5" x14ac:dyDescent="0.4">
      <c r="E804" s="2"/>
    </row>
    <row r="805" spans="5:5" x14ac:dyDescent="0.4">
      <c r="E805" s="2"/>
    </row>
    <row r="806" spans="5:5" x14ac:dyDescent="0.4">
      <c r="E806" s="2"/>
    </row>
    <row r="807" spans="5:5" x14ac:dyDescent="0.4">
      <c r="E807" s="2"/>
    </row>
    <row r="808" spans="5:5" x14ac:dyDescent="0.4">
      <c r="E808" s="2"/>
    </row>
    <row r="809" spans="5:5" x14ac:dyDescent="0.4">
      <c r="E809" s="2"/>
    </row>
    <row r="810" spans="5:5" x14ac:dyDescent="0.4">
      <c r="E810" s="2"/>
    </row>
    <row r="811" spans="5:5" x14ac:dyDescent="0.4">
      <c r="E811" s="2"/>
    </row>
    <row r="812" spans="5:5" x14ac:dyDescent="0.4">
      <c r="E812" s="2"/>
    </row>
    <row r="813" spans="5:5" x14ac:dyDescent="0.4">
      <c r="E813" s="2"/>
    </row>
    <row r="814" spans="5:5" x14ac:dyDescent="0.4">
      <c r="E814" s="2"/>
    </row>
    <row r="815" spans="5:5" x14ac:dyDescent="0.4">
      <c r="E815" s="2"/>
    </row>
    <row r="816" spans="5:5" x14ac:dyDescent="0.4">
      <c r="E816" s="2"/>
    </row>
    <row r="817" spans="5:5" x14ac:dyDescent="0.4">
      <c r="E817" s="2"/>
    </row>
    <row r="818" spans="5:5" x14ac:dyDescent="0.4">
      <c r="E818" s="2"/>
    </row>
    <row r="819" spans="5:5" x14ac:dyDescent="0.4">
      <c r="E819" s="2"/>
    </row>
    <row r="820" spans="5:5" x14ac:dyDescent="0.4">
      <c r="E820" s="2"/>
    </row>
    <row r="821" spans="5:5" x14ac:dyDescent="0.4">
      <c r="E821" s="2"/>
    </row>
    <row r="822" spans="5:5" x14ac:dyDescent="0.4">
      <c r="E822" s="2"/>
    </row>
    <row r="823" spans="5:5" x14ac:dyDescent="0.4">
      <c r="E823" s="2"/>
    </row>
    <row r="824" spans="5:5" x14ac:dyDescent="0.4">
      <c r="E824" s="2"/>
    </row>
    <row r="825" spans="5:5" x14ac:dyDescent="0.4">
      <c r="E825" s="2"/>
    </row>
    <row r="826" spans="5:5" x14ac:dyDescent="0.4">
      <c r="E826" s="2"/>
    </row>
    <row r="827" spans="5:5" x14ac:dyDescent="0.4">
      <c r="E827" s="2"/>
    </row>
    <row r="828" spans="5:5" x14ac:dyDescent="0.4">
      <c r="E828" s="2"/>
    </row>
    <row r="829" spans="5:5" x14ac:dyDescent="0.4">
      <c r="E829" s="2"/>
    </row>
    <row r="830" spans="5:5" x14ac:dyDescent="0.4">
      <c r="E830" s="2"/>
    </row>
    <row r="831" spans="5:5" x14ac:dyDescent="0.4">
      <c r="E831" s="2"/>
    </row>
    <row r="832" spans="5:5" x14ac:dyDescent="0.4">
      <c r="E832" s="2"/>
    </row>
    <row r="833" spans="5:5" x14ac:dyDescent="0.4">
      <c r="E833" s="2"/>
    </row>
    <row r="834" spans="5:5" x14ac:dyDescent="0.4">
      <c r="E834" s="2"/>
    </row>
    <row r="835" spans="5:5" x14ac:dyDescent="0.4">
      <c r="E835" s="2"/>
    </row>
    <row r="836" spans="5:5" x14ac:dyDescent="0.4">
      <c r="E836" s="2"/>
    </row>
    <row r="837" spans="5:5" x14ac:dyDescent="0.4">
      <c r="E837" s="2"/>
    </row>
    <row r="838" spans="5:5" x14ac:dyDescent="0.4">
      <c r="E838" s="2"/>
    </row>
    <row r="839" spans="5:5" x14ac:dyDescent="0.4">
      <c r="E839" s="2"/>
    </row>
    <row r="840" spans="5:5" x14ac:dyDescent="0.4">
      <c r="E840" s="2"/>
    </row>
    <row r="841" spans="5:5" x14ac:dyDescent="0.4">
      <c r="E841" s="2"/>
    </row>
    <row r="842" spans="5:5" x14ac:dyDescent="0.4">
      <c r="E842" s="2"/>
    </row>
    <row r="843" spans="5:5" x14ac:dyDescent="0.4">
      <c r="E843" s="2"/>
    </row>
    <row r="844" spans="5:5" x14ac:dyDescent="0.4">
      <c r="E844" s="2"/>
    </row>
    <row r="845" spans="5:5" x14ac:dyDescent="0.4">
      <c r="E845" s="2"/>
    </row>
    <row r="846" spans="5:5" x14ac:dyDescent="0.4">
      <c r="E846" s="2"/>
    </row>
    <row r="847" spans="5:5" x14ac:dyDescent="0.4">
      <c r="E847" s="2"/>
    </row>
    <row r="848" spans="5:5" x14ac:dyDescent="0.4">
      <c r="E848" s="2"/>
    </row>
    <row r="849" spans="5:5" x14ac:dyDescent="0.4">
      <c r="E849" s="2"/>
    </row>
    <row r="850" spans="5:5" x14ac:dyDescent="0.4">
      <c r="E850" s="2"/>
    </row>
    <row r="851" spans="5:5" x14ac:dyDescent="0.4">
      <c r="E851" s="2"/>
    </row>
    <row r="852" spans="5:5" x14ac:dyDescent="0.4">
      <c r="E852" s="2"/>
    </row>
    <row r="853" spans="5:5" x14ac:dyDescent="0.4">
      <c r="E853" s="2"/>
    </row>
    <row r="854" spans="5:5" x14ac:dyDescent="0.4">
      <c r="E854" s="2"/>
    </row>
    <row r="855" spans="5:5" x14ac:dyDescent="0.4">
      <c r="E855" s="2"/>
    </row>
    <row r="856" spans="5:5" x14ac:dyDescent="0.4">
      <c r="E856" s="2"/>
    </row>
    <row r="857" spans="5:5" x14ac:dyDescent="0.4">
      <c r="E857" s="2"/>
    </row>
    <row r="858" spans="5:5" x14ac:dyDescent="0.4">
      <c r="E858" s="2"/>
    </row>
    <row r="859" spans="5:5" x14ac:dyDescent="0.4">
      <c r="E859" s="2"/>
    </row>
    <row r="860" spans="5:5" x14ac:dyDescent="0.4">
      <c r="E860" s="2"/>
    </row>
    <row r="861" spans="5:5" x14ac:dyDescent="0.4">
      <c r="E861" s="2"/>
    </row>
    <row r="862" spans="5:5" x14ac:dyDescent="0.4">
      <c r="E862" s="2"/>
    </row>
    <row r="863" spans="5:5" x14ac:dyDescent="0.4">
      <c r="E863" s="2"/>
    </row>
    <row r="864" spans="5:5" x14ac:dyDescent="0.4">
      <c r="E864" s="2"/>
    </row>
    <row r="865" spans="5:5" x14ac:dyDescent="0.4">
      <c r="E865" s="2"/>
    </row>
    <row r="866" spans="5:5" x14ac:dyDescent="0.4">
      <c r="E866" s="2"/>
    </row>
    <row r="867" spans="5:5" x14ac:dyDescent="0.4">
      <c r="E867" s="2"/>
    </row>
    <row r="868" spans="5:5" x14ac:dyDescent="0.4">
      <c r="E868" s="2"/>
    </row>
    <row r="869" spans="5:5" x14ac:dyDescent="0.4">
      <c r="E869" s="2"/>
    </row>
    <row r="870" spans="5:5" x14ac:dyDescent="0.4">
      <c r="E870" s="2"/>
    </row>
    <row r="871" spans="5:5" x14ac:dyDescent="0.4">
      <c r="E871" s="2"/>
    </row>
    <row r="872" spans="5:5" x14ac:dyDescent="0.4">
      <c r="E872" s="2"/>
    </row>
    <row r="873" spans="5:5" x14ac:dyDescent="0.4">
      <c r="E873" s="2"/>
    </row>
    <row r="874" spans="5:5" x14ac:dyDescent="0.4">
      <c r="E874" s="2"/>
    </row>
    <row r="875" spans="5:5" x14ac:dyDescent="0.4">
      <c r="E875" s="2"/>
    </row>
    <row r="876" spans="5:5" x14ac:dyDescent="0.4">
      <c r="E876" s="2"/>
    </row>
    <row r="877" spans="5:5" x14ac:dyDescent="0.4">
      <c r="E877" s="2"/>
    </row>
    <row r="878" spans="5:5" x14ac:dyDescent="0.4">
      <c r="E878" s="2"/>
    </row>
    <row r="879" spans="5:5" x14ac:dyDescent="0.4">
      <c r="E879" s="2"/>
    </row>
    <row r="880" spans="5:5" x14ac:dyDescent="0.4">
      <c r="E880" s="2"/>
    </row>
    <row r="881" spans="5:5" x14ac:dyDescent="0.4">
      <c r="E881" s="2"/>
    </row>
    <row r="882" spans="5:5" x14ac:dyDescent="0.4">
      <c r="E882" s="2"/>
    </row>
    <row r="883" spans="5:5" x14ac:dyDescent="0.4">
      <c r="E883" s="2"/>
    </row>
    <row r="884" spans="5:5" x14ac:dyDescent="0.4">
      <c r="E884" s="2"/>
    </row>
    <row r="885" spans="5:5" x14ac:dyDescent="0.4">
      <c r="E885" s="2"/>
    </row>
    <row r="886" spans="5:5" x14ac:dyDescent="0.4">
      <c r="E886" s="2"/>
    </row>
    <row r="887" spans="5:5" x14ac:dyDescent="0.4">
      <c r="E887" s="2"/>
    </row>
    <row r="888" spans="5:5" x14ac:dyDescent="0.4">
      <c r="E888" s="2"/>
    </row>
    <row r="889" spans="5:5" x14ac:dyDescent="0.4">
      <c r="E889" s="2"/>
    </row>
    <row r="890" spans="5:5" x14ac:dyDescent="0.4">
      <c r="E890" s="2"/>
    </row>
    <row r="891" spans="5:5" x14ac:dyDescent="0.4">
      <c r="E891" s="2"/>
    </row>
    <row r="892" spans="5:5" x14ac:dyDescent="0.4">
      <c r="E892" s="2"/>
    </row>
    <row r="893" spans="5:5" x14ac:dyDescent="0.4">
      <c r="E893" s="2"/>
    </row>
    <row r="894" spans="5:5" x14ac:dyDescent="0.4">
      <c r="E894" s="2"/>
    </row>
    <row r="895" spans="5:5" x14ac:dyDescent="0.4">
      <c r="E895" s="2"/>
    </row>
    <row r="896" spans="5:5" x14ac:dyDescent="0.4">
      <c r="E896" s="2"/>
    </row>
    <row r="897" spans="5:5" x14ac:dyDescent="0.4">
      <c r="E897" s="2"/>
    </row>
    <row r="898" spans="5:5" x14ac:dyDescent="0.4">
      <c r="E898" s="2"/>
    </row>
    <row r="899" spans="5:5" x14ac:dyDescent="0.4">
      <c r="E899" s="2"/>
    </row>
    <row r="900" spans="5:5" x14ac:dyDescent="0.4">
      <c r="E900" s="2"/>
    </row>
    <row r="901" spans="5:5" x14ac:dyDescent="0.4">
      <c r="E901" s="2"/>
    </row>
    <row r="902" spans="5:5" x14ac:dyDescent="0.4">
      <c r="E902" s="2"/>
    </row>
    <row r="903" spans="5:5" x14ac:dyDescent="0.4">
      <c r="E903" s="2"/>
    </row>
    <row r="904" spans="5:5" x14ac:dyDescent="0.4">
      <c r="E904" s="2"/>
    </row>
    <row r="905" spans="5:5" x14ac:dyDescent="0.4">
      <c r="E905" s="2"/>
    </row>
    <row r="906" spans="5:5" x14ac:dyDescent="0.4">
      <c r="E906" s="2"/>
    </row>
    <row r="907" spans="5:5" x14ac:dyDescent="0.4">
      <c r="E907" s="2"/>
    </row>
    <row r="908" spans="5:5" x14ac:dyDescent="0.4">
      <c r="E908" s="2"/>
    </row>
    <row r="909" spans="5:5" x14ac:dyDescent="0.4">
      <c r="E909" s="2"/>
    </row>
    <row r="910" spans="5:5" x14ac:dyDescent="0.4">
      <c r="E910" s="2"/>
    </row>
    <row r="911" spans="5:5" x14ac:dyDescent="0.4">
      <c r="E911" s="2"/>
    </row>
    <row r="912" spans="5:5" x14ac:dyDescent="0.4">
      <c r="E912" s="2"/>
    </row>
    <row r="913" spans="5:5" x14ac:dyDescent="0.4">
      <c r="E913" s="2"/>
    </row>
    <row r="914" spans="5:5" x14ac:dyDescent="0.4">
      <c r="E914" s="2"/>
    </row>
    <row r="915" spans="5:5" x14ac:dyDescent="0.4">
      <c r="E915" s="2"/>
    </row>
    <row r="916" spans="5:5" x14ac:dyDescent="0.4">
      <c r="E916" s="2"/>
    </row>
    <row r="917" spans="5:5" x14ac:dyDescent="0.4">
      <c r="E917" s="2"/>
    </row>
    <row r="918" spans="5:5" x14ac:dyDescent="0.4">
      <c r="E918" s="2"/>
    </row>
    <row r="919" spans="5:5" x14ac:dyDescent="0.4">
      <c r="E919" s="2"/>
    </row>
    <row r="920" spans="5:5" x14ac:dyDescent="0.4">
      <c r="E920" s="2"/>
    </row>
    <row r="921" spans="5:5" x14ac:dyDescent="0.4">
      <c r="E921" s="2"/>
    </row>
    <row r="922" spans="5:5" x14ac:dyDescent="0.4">
      <c r="E922" s="2"/>
    </row>
    <row r="923" spans="5:5" x14ac:dyDescent="0.4">
      <c r="E923" s="2"/>
    </row>
    <row r="924" spans="5:5" x14ac:dyDescent="0.4">
      <c r="E924" s="2"/>
    </row>
    <row r="925" spans="5:5" x14ac:dyDescent="0.4">
      <c r="E925" s="2"/>
    </row>
    <row r="926" spans="5:5" x14ac:dyDescent="0.4">
      <c r="E926" s="2"/>
    </row>
    <row r="927" spans="5:5" x14ac:dyDescent="0.4">
      <c r="E927" s="2"/>
    </row>
    <row r="928" spans="5:5" x14ac:dyDescent="0.4">
      <c r="E928" s="2"/>
    </row>
    <row r="929" spans="5:5" x14ac:dyDescent="0.4">
      <c r="E929" s="2"/>
    </row>
    <row r="930" spans="5:5" x14ac:dyDescent="0.4">
      <c r="E930" s="2"/>
    </row>
    <row r="931" spans="5:5" x14ac:dyDescent="0.4">
      <c r="E931" s="2"/>
    </row>
    <row r="932" spans="5:5" x14ac:dyDescent="0.4">
      <c r="E932" s="2"/>
    </row>
    <row r="933" spans="5:5" x14ac:dyDescent="0.4">
      <c r="E933" s="2"/>
    </row>
    <row r="934" spans="5:5" x14ac:dyDescent="0.4">
      <c r="E934" s="2"/>
    </row>
    <row r="935" spans="5:5" x14ac:dyDescent="0.4">
      <c r="E935" s="2"/>
    </row>
    <row r="936" spans="5:5" x14ac:dyDescent="0.4">
      <c r="E936" s="2"/>
    </row>
    <row r="937" spans="5:5" x14ac:dyDescent="0.4">
      <c r="E937" s="2"/>
    </row>
    <row r="938" spans="5:5" x14ac:dyDescent="0.4">
      <c r="E938" s="2"/>
    </row>
    <row r="939" spans="5:5" x14ac:dyDescent="0.4">
      <c r="E939" s="2"/>
    </row>
    <row r="940" spans="5:5" x14ac:dyDescent="0.4">
      <c r="E940" s="2"/>
    </row>
    <row r="941" spans="5:5" x14ac:dyDescent="0.4">
      <c r="E941" s="2"/>
    </row>
    <row r="942" spans="5:5" x14ac:dyDescent="0.4">
      <c r="E942" s="2"/>
    </row>
    <row r="943" spans="5:5" x14ac:dyDescent="0.4">
      <c r="E943" s="2"/>
    </row>
    <row r="944" spans="5:5" x14ac:dyDescent="0.4">
      <c r="E944" s="2"/>
    </row>
    <row r="945" spans="5:5" x14ac:dyDescent="0.4">
      <c r="E945" s="2"/>
    </row>
    <row r="946" spans="5:5" x14ac:dyDescent="0.4">
      <c r="E946" s="2"/>
    </row>
    <row r="947" spans="5:5" x14ac:dyDescent="0.4">
      <c r="E947" s="2"/>
    </row>
    <row r="948" spans="5:5" x14ac:dyDescent="0.4">
      <c r="E948" s="2"/>
    </row>
    <row r="949" spans="5:5" x14ac:dyDescent="0.4">
      <c r="E949" s="2"/>
    </row>
    <row r="950" spans="5:5" x14ac:dyDescent="0.4">
      <c r="E950" s="2"/>
    </row>
    <row r="951" spans="5:5" x14ac:dyDescent="0.4">
      <c r="E951" s="2"/>
    </row>
    <row r="952" spans="5:5" x14ac:dyDescent="0.4">
      <c r="E952" s="2"/>
    </row>
    <row r="953" spans="5:5" x14ac:dyDescent="0.4">
      <c r="E953" s="2"/>
    </row>
    <row r="954" spans="5:5" x14ac:dyDescent="0.4">
      <c r="E954" s="2"/>
    </row>
    <row r="955" spans="5:5" x14ac:dyDescent="0.4">
      <c r="E955" s="2"/>
    </row>
    <row r="956" spans="5:5" x14ac:dyDescent="0.4">
      <c r="E956" s="2"/>
    </row>
    <row r="957" spans="5:5" x14ac:dyDescent="0.4">
      <c r="E957" s="2"/>
    </row>
    <row r="958" spans="5:5" x14ac:dyDescent="0.4">
      <c r="E958" s="2"/>
    </row>
    <row r="959" spans="5:5" x14ac:dyDescent="0.4">
      <c r="E959" s="2"/>
    </row>
    <row r="960" spans="5:5" x14ac:dyDescent="0.4">
      <c r="E960" s="2"/>
    </row>
    <row r="961" spans="5:5" x14ac:dyDescent="0.4">
      <c r="E961" s="2"/>
    </row>
    <row r="962" spans="5:5" x14ac:dyDescent="0.4">
      <c r="E962" s="2"/>
    </row>
    <row r="963" spans="5:5" x14ac:dyDescent="0.4">
      <c r="E963" s="2"/>
    </row>
    <row r="964" spans="5:5" x14ac:dyDescent="0.4">
      <c r="E964" s="2"/>
    </row>
    <row r="965" spans="5:5" x14ac:dyDescent="0.4">
      <c r="E965" s="2"/>
    </row>
    <row r="966" spans="5:5" x14ac:dyDescent="0.4">
      <c r="E966" s="2"/>
    </row>
    <row r="967" spans="5:5" x14ac:dyDescent="0.4">
      <c r="E967" s="2"/>
    </row>
    <row r="968" spans="5:5" x14ac:dyDescent="0.4">
      <c r="E968" s="2"/>
    </row>
    <row r="969" spans="5:5" x14ac:dyDescent="0.4">
      <c r="E969" s="2"/>
    </row>
    <row r="970" spans="5:5" x14ac:dyDescent="0.4">
      <c r="E970" s="2"/>
    </row>
    <row r="971" spans="5:5" x14ac:dyDescent="0.4">
      <c r="E971" s="2"/>
    </row>
    <row r="972" spans="5:5" x14ac:dyDescent="0.4">
      <c r="E972" s="2"/>
    </row>
    <row r="973" spans="5:5" x14ac:dyDescent="0.4">
      <c r="E973" s="2"/>
    </row>
    <row r="974" spans="5:5" x14ac:dyDescent="0.4">
      <c r="E974" s="2"/>
    </row>
    <row r="975" spans="5:5" x14ac:dyDescent="0.4">
      <c r="E975" s="2"/>
    </row>
    <row r="976" spans="5:5" x14ac:dyDescent="0.4">
      <c r="E976" s="2"/>
    </row>
    <row r="977" spans="5:5" x14ac:dyDescent="0.4">
      <c r="E977" s="2"/>
    </row>
    <row r="978" spans="5:5" x14ac:dyDescent="0.4">
      <c r="E978" s="2"/>
    </row>
    <row r="979" spans="5:5" x14ac:dyDescent="0.4">
      <c r="E979" s="2"/>
    </row>
    <row r="980" spans="5:5" x14ac:dyDescent="0.4">
      <c r="E980" s="2"/>
    </row>
    <row r="981" spans="5:5" x14ac:dyDescent="0.4">
      <c r="E981" s="2"/>
    </row>
    <row r="982" spans="5:5" x14ac:dyDescent="0.4">
      <c r="E982" s="2"/>
    </row>
    <row r="983" spans="5:5" x14ac:dyDescent="0.4">
      <c r="E983" s="2"/>
    </row>
    <row r="984" spans="5:5" x14ac:dyDescent="0.4">
      <c r="E984" s="2"/>
    </row>
    <row r="985" spans="5:5" x14ac:dyDescent="0.4">
      <c r="E985" s="2"/>
    </row>
    <row r="986" spans="5:5" x14ac:dyDescent="0.4">
      <c r="E986" s="2"/>
    </row>
    <row r="987" spans="5:5" x14ac:dyDescent="0.4">
      <c r="E987" s="2"/>
    </row>
    <row r="988" spans="5:5" x14ac:dyDescent="0.4">
      <c r="E988" s="2"/>
    </row>
    <row r="989" spans="5:5" x14ac:dyDescent="0.4">
      <c r="E989" s="2"/>
    </row>
    <row r="990" spans="5:5" x14ac:dyDescent="0.4">
      <c r="E990" s="2"/>
    </row>
    <row r="991" spans="5:5" x14ac:dyDescent="0.4">
      <c r="E991" s="2"/>
    </row>
    <row r="992" spans="5:5" x14ac:dyDescent="0.4">
      <c r="E992" s="2"/>
    </row>
    <row r="993" spans="5:5" x14ac:dyDescent="0.4">
      <c r="E993" s="2"/>
    </row>
    <row r="994" spans="5:5" x14ac:dyDescent="0.4">
      <c r="E994" s="2"/>
    </row>
    <row r="995" spans="5:5" x14ac:dyDescent="0.4">
      <c r="E995" s="2"/>
    </row>
    <row r="996" spans="5:5" x14ac:dyDescent="0.4">
      <c r="E996" s="2"/>
    </row>
    <row r="997" spans="5:5" x14ac:dyDescent="0.4">
      <c r="E997" s="2"/>
    </row>
    <row r="998" spans="5:5" x14ac:dyDescent="0.4">
      <c r="E998" s="2"/>
    </row>
    <row r="999" spans="5:5" x14ac:dyDescent="0.4">
      <c r="E999" s="2"/>
    </row>
    <row r="1000" spans="5:5" x14ac:dyDescent="0.4">
      <c r="E1000" s="2"/>
    </row>
    <row r="1001" spans="5:5" x14ac:dyDescent="0.4">
      <c r="E1001" s="2"/>
    </row>
    <row r="1002" spans="5:5" x14ac:dyDescent="0.4">
      <c r="E1002" s="2"/>
    </row>
    <row r="1003" spans="5:5" x14ac:dyDescent="0.4">
      <c r="E1003" s="2"/>
    </row>
    <row r="1004" spans="5:5" x14ac:dyDescent="0.4">
      <c r="E1004" s="2"/>
    </row>
    <row r="1005" spans="5:5" x14ac:dyDescent="0.4">
      <c r="E1005" s="2"/>
    </row>
    <row r="1006" spans="5:5" x14ac:dyDescent="0.4">
      <c r="E1006" s="2"/>
    </row>
    <row r="1007" spans="5:5" x14ac:dyDescent="0.4">
      <c r="E1007" s="2"/>
    </row>
    <row r="1008" spans="5:5" x14ac:dyDescent="0.4">
      <c r="E1008" s="2"/>
    </row>
    <row r="1009" spans="5:5" x14ac:dyDescent="0.4">
      <c r="E1009" s="2"/>
    </row>
    <row r="1010" spans="5:5" x14ac:dyDescent="0.4">
      <c r="E1010" s="2"/>
    </row>
    <row r="1011" spans="5:5" x14ac:dyDescent="0.4">
      <c r="E1011" s="2"/>
    </row>
    <row r="1012" spans="5:5" x14ac:dyDescent="0.4">
      <c r="E1012" s="2"/>
    </row>
    <row r="1013" spans="5:5" x14ac:dyDescent="0.4">
      <c r="E1013" s="2"/>
    </row>
    <row r="1014" spans="5:5" x14ac:dyDescent="0.4">
      <c r="E1014" s="2"/>
    </row>
    <row r="1015" spans="5:5" x14ac:dyDescent="0.4">
      <c r="E1015" s="2"/>
    </row>
    <row r="1016" spans="5:5" x14ac:dyDescent="0.4">
      <c r="E1016" s="2"/>
    </row>
    <row r="1017" spans="5:5" x14ac:dyDescent="0.4">
      <c r="E1017" s="2"/>
    </row>
    <row r="1018" spans="5:5" x14ac:dyDescent="0.4">
      <c r="E1018" s="2"/>
    </row>
    <row r="1019" spans="5:5" x14ac:dyDescent="0.4">
      <c r="E1019" s="2"/>
    </row>
    <row r="1020" spans="5:5" x14ac:dyDescent="0.4">
      <c r="E1020" s="2"/>
    </row>
    <row r="1021" spans="5:5" x14ac:dyDescent="0.4">
      <c r="E1021" s="2"/>
    </row>
    <row r="1022" spans="5:5" x14ac:dyDescent="0.4">
      <c r="E1022" s="2"/>
    </row>
    <row r="1023" spans="5:5" x14ac:dyDescent="0.4">
      <c r="E1023" s="2"/>
    </row>
    <row r="1024" spans="5:5" x14ac:dyDescent="0.4">
      <c r="E1024" s="2"/>
    </row>
    <row r="1025" spans="5:5" x14ac:dyDescent="0.4">
      <c r="E1025" s="2"/>
    </row>
    <row r="1026" spans="5:5" x14ac:dyDescent="0.4">
      <c r="E1026" s="2"/>
    </row>
    <row r="1027" spans="5:5" x14ac:dyDescent="0.4">
      <c r="E1027" s="2"/>
    </row>
    <row r="1028" spans="5:5" x14ac:dyDescent="0.4">
      <c r="E1028" s="2"/>
    </row>
    <row r="1029" spans="5:5" x14ac:dyDescent="0.4">
      <c r="E1029" s="2"/>
    </row>
    <row r="1030" spans="5:5" x14ac:dyDescent="0.4">
      <c r="E1030" s="2"/>
    </row>
    <row r="1031" spans="5:5" x14ac:dyDescent="0.4">
      <c r="E1031" s="2"/>
    </row>
    <row r="1032" spans="5:5" x14ac:dyDescent="0.4">
      <c r="E1032" s="2"/>
    </row>
    <row r="1033" spans="5:5" x14ac:dyDescent="0.4">
      <c r="E1033" s="2"/>
    </row>
    <row r="1034" spans="5:5" x14ac:dyDescent="0.4">
      <c r="E1034" s="2"/>
    </row>
    <row r="1035" spans="5:5" x14ac:dyDescent="0.4">
      <c r="E1035" s="2"/>
    </row>
    <row r="1036" spans="5:5" x14ac:dyDescent="0.4">
      <c r="E1036" s="2"/>
    </row>
    <row r="1037" spans="5:5" x14ac:dyDescent="0.4">
      <c r="E1037" s="2"/>
    </row>
    <row r="1038" spans="5:5" x14ac:dyDescent="0.4">
      <c r="E1038" s="2"/>
    </row>
    <row r="1039" spans="5:5" x14ac:dyDescent="0.4">
      <c r="E1039" s="2"/>
    </row>
    <row r="1040" spans="5:5" x14ac:dyDescent="0.4">
      <c r="E1040" s="2"/>
    </row>
    <row r="1041" spans="5:5" x14ac:dyDescent="0.4">
      <c r="E1041" s="2"/>
    </row>
    <row r="1042" spans="5:5" x14ac:dyDescent="0.4">
      <c r="E1042" s="2"/>
    </row>
    <row r="1043" spans="5:5" x14ac:dyDescent="0.4">
      <c r="E1043" s="2"/>
    </row>
    <row r="1044" spans="5:5" x14ac:dyDescent="0.4">
      <c r="E1044" s="2"/>
    </row>
    <row r="1045" spans="5:5" x14ac:dyDescent="0.4">
      <c r="E1045" s="2"/>
    </row>
    <row r="1046" spans="5:5" x14ac:dyDescent="0.4">
      <c r="E1046" s="2"/>
    </row>
    <row r="1047" spans="5:5" x14ac:dyDescent="0.4">
      <c r="E1047" s="2"/>
    </row>
    <row r="1048" spans="5:5" x14ac:dyDescent="0.4">
      <c r="E1048" s="2"/>
    </row>
    <row r="1049" spans="5:5" x14ac:dyDescent="0.4">
      <c r="E1049" s="2"/>
    </row>
    <row r="1050" spans="5:5" x14ac:dyDescent="0.4">
      <c r="E1050" s="2"/>
    </row>
    <row r="1051" spans="5:5" x14ac:dyDescent="0.4">
      <c r="E1051" s="2"/>
    </row>
    <row r="1052" spans="5:5" x14ac:dyDescent="0.4">
      <c r="E1052" s="2"/>
    </row>
    <row r="1053" spans="5:5" x14ac:dyDescent="0.4">
      <c r="E1053" s="2"/>
    </row>
    <row r="1054" spans="5:5" x14ac:dyDescent="0.4">
      <c r="E1054" s="2"/>
    </row>
    <row r="1055" spans="5:5" x14ac:dyDescent="0.4">
      <c r="E1055" s="2"/>
    </row>
    <row r="1056" spans="5:5" x14ac:dyDescent="0.4">
      <c r="E1056" s="2"/>
    </row>
    <row r="1057" spans="5:5" x14ac:dyDescent="0.4">
      <c r="E1057" s="2"/>
    </row>
    <row r="1058" spans="5:5" x14ac:dyDescent="0.4">
      <c r="E1058" s="2"/>
    </row>
    <row r="1059" spans="5:5" x14ac:dyDescent="0.4">
      <c r="E1059" s="2"/>
    </row>
    <row r="1060" spans="5:5" x14ac:dyDescent="0.4">
      <c r="E1060" s="2"/>
    </row>
    <row r="1061" spans="5:5" x14ac:dyDescent="0.4">
      <c r="E1061" s="2"/>
    </row>
    <row r="1062" spans="5:5" x14ac:dyDescent="0.4">
      <c r="E1062" s="2"/>
    </row>
    <row r="1063" spans="5:5" x14ac:dyDescent="0.4">
      <c r="E1063" s="2"/>
    </row>
    <row r="1064" spans="5:5" x14ac:dyDescent="0.4">
      <c r="E1064" s="2"/>
    </row>
    <row r="1065" spans="5:5" x14ac:dyDescent="0.4">
      <c r="E1065" s="2"/>
    </row>
    <row r="1066" spans="5:5" x14ac:dyDescent="0.4">
      <c r="E1066" s="2"/>
    </row>
    <row r="1067" spans="5:5" x14ac:dyDescent="0.4">
      <c r="E1067" s="2"/>
    </row>
    <row r="1068" spans="5:5" x14ac:dyDescent="0.4">
      <c r="E1068" s="2"/>
    </row>
    <row r="1069" spans="5:5" x14ac:dyDescent="0.4">
      <c r="E1069" s="2"/>
    </row>
    <row r="1070" spans="5:5" x14ac:dyDescent="0.4">
      <c r="E1070" s="2"/>
    </row>
    <row r="1071" spans="5:5" x14ac:dyDescent="0.4">
      <c r="E1071" s="2"/>
    </row>
    <row r="1072" spans="5:5" x14ac:dyDescent="0.4">
      <c r="E1072" s="2"/>
    </row>
    <row r="1073" spans="5:5" x14ac:dyDescent="0.4">
      <c r="E1073" s="2"/>
    </row>
    <row r="1074" spans="5:5" x14ac:dyDescent="0.4">
      <c r="E1074" s="2"/>
    </row>
    <row r="1075" spans="5:5" x14ac:dyDescent="0.4">
      <c r="E1075" s="2"/>
    </row>
    <row r="1076" spans="5:5" x14ac:dyDescent="0.4">
      <c r="E1076" s="2"/>
    </row>
    <row r="1077" spans="5:5" x14ac:dyDescent="0.4">
      <c r="E1077" s="2"/>
    </row>
    <row r="1078" spans="5:5" x14ac:dyDescent="0.4">
      <c r="E1078" s="2"/>
    </row>
    <row r="1079" spans="5:5" x14ac:dyDescent="0.4">
      <c r="E1079" s="2"/>
    </row>
    <row r="1080" spans="5:5" x14ac:dyDescent="0.4">
      <c r="E1080" s="2"/>
    </row>
    <row r="1081" spans="5:5" x14ac:dyDescent="0.4">
      <c r="E1081" s="2"/>
    </row>
    <row r="1082" spans="5:5" x14ac:dyDescent="0.4">
      <c r="E1082" s="2"/>
    </row>
    <row r="1083" spans="5:5" x14ac:dyDescent="0.4">
      <c r="E1083" s="2"/>
    </row>
    <row r="1084" spans="5:5" x14ac:dyDescent="0.4">
      <c r="E1084" s="2"/>
    </row>
    <row r="1085" spans="5:5" x14ac:dyDescent="0.4">
      <c r="E1085" s="2"/>
    </row>
    <row r="1086" spans="5:5" x14ac:dyDescent="0.4">
      <c r="E1086" s="2"/>
    </row>
    <row r="1087" spans="5:5" x14ac:dyDescent="0.4">
      <c r="E1087" s="2"/>
    </row>
    <row r="1088" spans="5:5" x14ac:dyDescent="0.4">
      <c r="E1088" s="2"/>
    </row>
    <row r="1089" spans="5:5" x14ac:dyDescent="0.4">
      <c r="E1089" s="2"/>
    </row>
    <row r="1090" spans="5:5" x14ac:dyDescent="0.4">
      <c r="E1090" s="2"/>
    </row>
    <row r="1091" spans="5:5" x14ac:dyDescent="0.4">
      <c r="E1091" s="2"/>
    </row>
    <row r="1092" spans="5:5" x14ac:dyDescent="0.4">
      <c r="E1092" s="2"/>
    </row>
    <row r="1093" spans="5:5" x14ac:dyDescent="0.4">
      <c r="E1093" s="2"/>
    </row>
    <row r="1094" spans="5:5" x14ac:dyDescent="0.4">
      <c r="E1094" s="2"/>
    </row>
    <row r="1095" spans="5:5" x14ac:dyDescent="0.4">
      <c r="E1095" s="2"/>
    </row>
    <row r="1096" spans="5:5" x14ac:dyDescent="0.4">
      <c r="E1096" s="2"/>
    </row>
    <row r="1097" spans="5:5" x14ac:dyDescent="0.4">
      <c r="E1097" s="2"/>
    </row>
    <row r="1098" spans="5:5" x14ac:dyDescent="0.4">
      <c r="E1098" s="2"/>
    </row>
    <row r="1099" spans="5:5" x14ac:dyDescent="0.4">
      <c r="E1099" s="2"/>
    </row>
    <row r="1100" spans="5:5" x14ac:dyDescent="0.4">
      <c r="E1100" s="2"/>
    </row>
    <row r="1101" spans="5:5" x14ac:dyDescent="0.4">
      <c r="E1101" s="2"/>
    </row>
    <row r="1102" spans="5:5" x14ac:dyDescent="0.4">
      <c r="E1102" s="2"/>
    </row>
    <row r="1103" spans="5:5" x14ac:dyDescent="0.4">
      <c r="E1103" s="2"/>
    </row>
    <row r="1104" spans="5:5" x14ac:dyDescent="0.4">
      <c r="E1104" s="2"/>
    </row>
    <row r="1105" spans="5:5" x14ac:dyDescent="0.4">
      <c r="E1105" s="2"/>
    </row>
    <row r="1106" spans="5:5" x14ac:dyDescent="0.4">
      <c r="E1106" s="2"/>
    </row>
    <row r="1107" spans="5:5" x14ac:dyDescent="0.4">
      <c r="E1107" s="2"/>
    </row>
    <row r="1108" spans="5:5" x14ac:dyDescent="0.4">
      <c r="E1108" s="2"/>
    </row>
    <row r="1109" spans="5:5" x14ac:dyDescent="0.4">
      <c r="E1109" s="2"/>
    </row>
    <row r="1110" spans="5:5" x14ac:dyDescent="0.4">
      <c r="E1110" s="2"/>
    </row>
    <row r="1111" spans="5:5" x14ac:dyDescent="0.4">
      <c r="E1111" s="2"/>
    </row>
    <row r="1112" spans="5:5" x14ac:dyDescent="0.4">
      <c r="E1112" s="2"/>
    </row>
    <row r="1113" spans="5:5" x14ac:dyDescent="0.4">
      <c r="E1113" s="2"/>
    </row>
    <row r="1114" spans="5:5" x14ac:dyDescent="0.4">
      <c r="E1114" s="2"/>
    </row>
    <row r="1115" spans="5:5" x14ac:dyDescent="0.4">
      <c r="E1115" s="2"/>
    </row>
    <row r="1116" spans="5:5" x14ac:dyDescent="0.4">
      <c r="E1116" s="2"/>
    </row>
    <row r="1117" spans="5:5" x14ac:dyDescent="0.4">
      <c r="E1117" s="2"/>
    </row>
    <row r="1118" spans="5:5" x14ac:dyDescent="0.4">
      <c r="E1118" s="2"/>
    </row>
    <row r="1119" spans="5:5" x14ac:dyDescent="0.4">
      <c r="E1119" s="2"/>
    </row>
    <row r="1120" spans="5:5" x14ac:dyDescent="0.4">
      <c r="E1120" s="2"/>
    </row>
    <row r="1121" spans="5:5" x14ac:dyDescent="0.4">
      <c r="E1121" s="2"/>
    </row>
    <row r="1122" spans="5:5" x14ac:dyDescent="0.4">
      <c r="E1122" s="2"/>
    </row>
    <row r="1123" spans="5:5" x14ac:dyDescent="0.4">
      <c r="E1123" s="2"/>
    </row>
    <row r="1124" spans="5:5" x14ac:dyDescent="0.4">
      <c r="E1124" s="2"/>
    </row>
    <row r="1125" spans="5:5" x14ac:dyDescent="0.4">
      <c r="E1125" s="2"/>
    </row>
    <row r="1126" spans="5:5" x14ac:dyDescent="0.4">
      <c r="E1126" s="2"/>
    </row>
    <row r="1127" spans="5:5" x14ac:dyDescent="0.4">
      <c r="E1127" s="2"/>
    </row>
    <row r="1128" spans="5:5" x14ac:dyDescent="0.4">
      <c r="E1128" s="2"/>
    </row>
    <row r="1129" spans="5:5" x14ac:dyDescent="0.4">
      <c r="E1129" s="2"/>
    </row>
    <row r="1130" spans="5:5" x14ac:dyDescent="0.4">
      <c r="E1130" s="2"/>
    </row>
    <row r="1131" spans="5:5" x14ac:dyDescent="0.4">
      <c r="E1131" s="2"/>
    </row>
    <row r="1132" spans="5:5" x14ac:dyDescent="0.4">
      <c r="E1132" s="2"/>
    </row>
    <row r="1133" spans="5:5" x14ac:dyDescent="0.4">
      <c r="E1133" s="2"/>
    </row>
    <row r="1134" spans="5:5" x14ac:dyDescent="0.4">
      <c r="E1134" s="2"/>
    </row>
    <row r="1135" spans="5:5" x14ac:dyDescent="0.4">
      <c r="E1135" s="2"/>
    </row>
    <row r="1136" spans="5:5" x14ac:dyDescent="0.4">
      <c r="E1136" s="2"/>
    </row>
    <row r="1137" spans="5:5" x14ac:dyDescent="0.4">
      <c r="E1137" s="2"/>
    </row>
    <row r="1138" spans="5:5" x14ac:dyDescent="0.4">
      <c r="E1138" s="2"/>
    </row>
    <row r="1139" spans="5:5" x14ac:dyDescent="0.4">
      <c r="E1139" s="2"/>
    </row>
    <row r="1140" spans="5:5" x14ac:dyDescent="0.4">
      <c r="E1140" s="2"/>
    </row>
    <row r="1141" spans="5:5" x14ac:dyDescent="0.4">
      <c r="E1141" s="2"/>
    </row>
    <row r="1142" spans="5:5" x14ac:dyDescent="0.4">
      <c r="E1142" s="2"/>
    </row>
    <row r="1143" spans="5:5" x14ac:dyDescent="0.4">
      <c r="E1143" s="2"/>
    </row>
    <row r="1144" spans="5:5" x14ac:dyDescent="0.4">
      <c r="E1144" s="2"/>
    </row>
    <row r="1145" spans="5:5" x14ac:dyDescent="0.4">
      <c r="E1145" s="2"/>
    </row>
    <row r="1146" spans="5:5" x14ac:dyDescent="0.4">
      <c r="E1146" s="2"/>
    </row>
    <row r="1147" spans="5:5" x14ac:dyDescent="0.4">
      <c r="E1147" s="2"/>
    </row>
    <row r="1148" spans="5:5" x14ac:dyDescent="0.4">
      <c r="E1148" s="2"/>
    </row>
    <row r="1149" spans="5:5" x14ac:dyDescent="0.4">
      <c r="E1149" s="2"/>
    </row>
    <row r="1150" spans="5:5" x14ac:dyDescent="0.4">
      <c r="E1150" s="2"/>
    </row>
    <row r="1151" spans="5:5" x14ac:dyDescent="0.4">
      <c r="E1151" s="2"/>
    </row>
    <row r="1152" spans="5:5" x14ac:dyDescent="0.4">
      <c r="E1152" s="2"/>
    </row>
    <row r="1153" spans="5:5" x14ac:dyDescent="0.4">
      <c r="E1153" s="2"/>
    </row>
    <row r="1154" spans="5:5" x14ac:dyDescent="0.4">
      <c r="E1154" s="2"/>
    </row>
    <row r="1155" spans="5:5" x14ac:dyDescent="0.4">
      <c r="E1155" s="2"/>
    </row>
    <row r="1156" spans="5:5" x14ac:dyDescent="0.4">
      <c r="E1156" s="2"/>
    </row>
    <row r="1157" spans="5:5" x14ac:dyDescent="0.4">
      <c r="E1157" s="2"/>
    </row>
    <row r="1158" spans="5:5" x14ac:dyDescent="0.4">
      <c r="E1158" s="2"/>
    </row>
    <row r="1159" spans="5:5" x14ac:dyDescent="0.4">
      <c r="E1159" s="2"/>
    </row>
    <row r="1160" spans="5:5" x14ac:dyDescent="0.4">
      <c r="E1160" s="2"/>
    </row>
    <row r="1161" spans="5:5" x14ac:dyDescent="0.4">
      <c r="E1161" s="2"/>
    </row>
    <row r="1162" spans="5:5" x14ac:dyDescent="0.4">
      <c r="E1162" s="2"/>
    </row>
    <row r="1163" spans="5:5" x14ac:dyDescent="0.4">
      <c r="E1163" s="2"/>
    </row>
    <row r="1164" spans="5:5" x14ac:dyDescent="0.4">
      <c r="E1164" s="2"/>
    </row>
    <row r="1165" spans="5:5" x14ac:dyDescent="0.4">
      <c r="E1165" s="2"/>
    </row>
    <row r="1166" spans="5:5" x14ac:dyDescent="0.4">
      <c r="E1166" s="2"/>
    </row>
    <row r="1167" spans="5:5" x14ac:dyDescent="0.4">
      <c r="E1167" s="2"/>
    </row>
    <row r="1168" spans="5:5" x14ac:dyDescent="0.4">
      <c r="E1168" s="2"/>
    </row>
    <row r="1169" spans="5:5" x14ac:dyDescent="0.4">
      <c r="E1169" s="2"/>
    </row>
    <row r="1170" spans="5:5" x14ac:dyDescent="0.4">
      <c r="E1170" s="2"/>
    </row>
    <row r="1171" spans="5:5" x14ac:dyDescent="0.4">
      <c r="E1171" s="2"/>
    </row>
    <row r="1172" spans="5:5" x14ac:dyDescent="0.4">
      <c r="E1172" s="2"/>
    </row>
    <row r="1173" spans="5:5" x14ac:dyDescent="0.4">
      <c r="E1173" s="2"/>
    </row>
    <row r="1174" spans="5:5" x14ac:dyDescent="0.4">
      <c r="E1174" s="2"/>
    </row>
    <row r="1175" spans="5:5" x14ac:dyDescent="0.4">
      <c r="E1175" s="2"/>
    </row>
    <row r="1176" spans="5:5" x14ac:dyDescent="0.4">
      <c r="E1176" s="2"/>
    </row>
    <row r="1177" spans="5:5" x14ac:dyDescent="0.4">
      <c r="E1177" s="2"/>
    </row>
    <row r="1178" spans="5:5" x14ac:dyDescent="0.4">
      <c r="E1178" s="2"/>
    </row>
    <row r="1179" spans="5:5" x14ac:dyDescent="0.4">
      <c r="E1179" s="2"/>
    </row>
    <row r="1180" spans="5:5" x14ac:dyDescent="0.4">
      <c r="E1180" s="2"/>
    </row>
    <row r="1181" spans="5:5" x14ac:dyDescent="0.4">
      <c r="E1181" s="2"/>
    </row>
    <row r="1182" spans="5:5" x14ac:dyDescent="0.4">
      <c r="E1182" s="2"/>
    </row>
    <row r="1183" spans="5:5" x14ac:dyDescent="0.4">
      <c r="E1183" s="2"/>
    </row>
    <row r="1184" spans="5:5" x14ac:dyDescent="0.4">
      <c r="E1184" s="2"/>
    </row>
    <row r="1185" spans="5:5" x14ac:dyDescent="0.4">
      <c r="E1185" s="2"/>
    </row>
    <row r="1186" spans="5:5" x14ac:dyDescent="0.4">
      <c r="E1186" s="2"/>
    </row>
    <row r="1187" spans="5:5" x14ac:dyDescent="0.4">
      <c r="E1187" s="2"/>
    </row>
    <row r="1188" spans="5:5" x14ac:dyDescent="0.4">
      <c r="E1188" s="2"/>
    </row>
    <row r="1189" spans="5:5" x14ac:dyDescent="0.4">
      <c r="E1189" s="2"/>
    </row>
    <row r="1190" spans="5:5" x14ac:dyDescent="0.4">
      <c r="E1190" s="2"/>
    </row>
    <row r="1191" spans="5:5" x14ac:dyDescent="0.4">
      <c r="E1191" s="2"/>
    </row>
    <row r="1192" spans="5:5" x14ac:dyDescent="0.4">
      <c r="E1192" s="2"/>
    </row>
    <row r="1193" spans="5:5" x14ac:dyDescent="0.4">
      <c r="E1193" s="2"/>
    </row>
    <row r="1194" spans="5:5" x14ac:dyDescent="0.4">
      <c r="E1194" s="2"/>
    </row>
    <row r="1195" spans="5:5" x14ac:dyDescent="0.4">
      <c r="E1195" s="2"/>
    </row>
    <row r="1196" spans="5:5" x14ac:dyDescent="0.4">
      <c r="E1196" s="2"/>
    </row>
    <row r="1197" spans="5:5" x14ac:dyDescent="0.4">
      <c r="E1197" s="2"/>
    </row>
    <row r="1198" spans="5:5" x14ac:dyDescent="0.4">
      <c r="E1198" s="2"/>
    </row>
    <row r="1199" spans="5:5" x14ac:dyDescent="0.4">
      <c r="E1199" s="2"/>
    </row>
    <row r="1200" spans="5:5" x14ac:dyDescent="0.4">
      <c r="E1200" s="2"/>
    </row>
    <row r="1201" spans="5:5" x14ac:dyDescent="0.4">
      <c r="E1201" s="2"/>
    </row>
    <row r="1202" spans="5:5" x14ac:dyDescent="0.4">
      <c r="E1202" s="2"/>
    </row>
    <row r="1203" spans="5:5" x14ac:dyDescent="0.4">
      <c r="E1203" s="2"/>
    </row>
    <row r="1204" spans="5:5" x14ac:dyDescent="0.4">
      <c r="E1204" s="2"/>
    </row>
    <row r="1205" spans="5:5" x14ac:dyDescent="0.4">
      <c r="E1205" s="2"/>
    </row>
    <row r="1206" spans="5:5" x14ac:dyDescent="0.4">
      <c r="E1206" s="2"/>
    </row>
    <row r="1207" spans="5:5" x14ac:dyDescent="0.4">
      <c r="E1207" s="2"/>
    </row>
    <row r="1208" spans="5:5" x14ac:dyDescent="0.4">
      <c r="E1208" s="2"/>
    </row>
    <row r="1209" spans="5:5" x14ac:dyDescent="0.4">
      <c r="E1209" s="2"/>
    </row>
    <row r="1210" spans="5:5" x14ac:dyDescent="0.4">
      <c r="E1210" s="2"/>
    </row>
    <row r="1211" spans="5:5" x14ac:dyDescent="0.4">
      <c r="E1211" s="2"/>
    </row>
    <row r="1212" spans="5:5" x14ac:dyDescent="0.4">
      <c r="E1212" s="2"/>
    </row>
    <row r="1213" spans="5:5" x14ac:dyDescent="0.4">
      <c r="E1213" s="2"/>
    </row>
    <row r="1214" spans="5:5" x14ac:dyDescent="0.4">
      <c r="E1214" s="2"/>
    </row>
    <row r="1215" spans="5:5" x14ac:dyDescent="0.4">
      <c r="E1215" s="2"/>
    </row>
    <row r="1216" spans="5:5" x14ac:dyDescent="0.4">
      <c r="E1216" s="2"/>
    </row>
    <row r="1217" spans="5:5" x14ac:dyDescent="0.4">
      <c r="E1217" s="2"/>
    </row>
    <row r="1218" spans="5:5" x14ac:dyDescent="0.4">
      <c r="E1218" s="2"/>
    </row>
    <row r="1219" spans="5:5" x14ac:dyDescent="0.4">
      <c r="E1219" s="2"/>
    </row>
    <row r="1220" spans="5:5" x14ac:dyDescent="0.4">
      <c r="E1220" s="2"/>
    </row>
    <row r="1221" spans="5:5" x14ac:dyDescent="0.4">
      <c r="E1221" s="2"/>
    </row>
    <row r="1222" spans="5:5" x14ac:dyDescent="0.4">
      <c r="E1222" s="2"/>
    </row>
    <row r="1223" spans="5:5" x14ac:dyDescent="0.4">
      <c r="E1223" s="2"/>
    </row>
    <row r="1224" spans="5:5" x14ac:dyDescent="0.4">
      <c r="E1224" s="2"/>
    </row>
    <row r="1225" spans="5:5" x14ac:dyDescent="0.4">
      <c r="E1225" s="2"/>
    </row>
    <row r="1226" spans="5:5" x14ac:dyDescent="0.4">
      <c r="E1226" s="2"/>
    </row>
    <row r="1227" spans="5:5" x14ac:dyDescent="0.4">
      <c r="E1227" s="2"/>
    </row>
    <row r="1228" spans="5:5" x14ac:dyDescent="0.4">
      <c r="E1228" s="2"/>
    </row>
    <row r="1229" spans="5:5" x14ac:dyDescent="0.4">
      <c r="E1229" s="2"/>
    </row>
    <row r="1230" spans="5:5" x14ac:dyDescent="0.4">
      <c r="E1230" s="2"/>
    </row>
    <row r="1231" spans="5:5" x14ac:dyDescent="0.4">
      <c r="E1231" s="2"/>
    </row>
    <row r="1232" spans="5:5" x14ac:dyDescent="0.4">
      <c r="E1232" s="2"/>
    </row>
    <row r="1233" spans="5:5" x14ac:dyDescent="0.4">
      <c r="E1233" s="2"/>
    </row>
    <row r="1234" spans="5:5" x14ac:dyDescent="0.4">
      <c r="E1234" s="2"/>
    </row>
    <row r="1235" spans="5:5" x14ac:dyDescent="0.4">
      <c r="E1235" s="2"/>
    </row>
    <row r="1236" spans="5:5" x14ac:dyDescent="0.4">
      <c r="E1236" s="2"/>
    </row>
    <row r="1237" spans="5:5" x14ac:dyDescent="0.4">
      <c r="E1237" s="2"/>
    </row>
    <row r="1238" spans="5:5" x14ac:dyDescent="0.4">
      <c r="E1238" s="2"/>
    </row>
    <row r="1239" spans="5:5" x14ac:dyDescent="0.4">
      <c r="E1239" s="2"/>
    </row>
    <row r="1240" spans="5:5" x14ac:dyDescent="0.4">
      <c r="E1240" s="2"/>
    </row>
    <row r="1241" spans="5:5" x14ac:dyDescent="0.4">
      <c r="E1241" s="2"/>
    </row>
    <row r="1242" spans="5:5" x14ac:dyDescent="0.4">
      <c r="E1242" s="2"/>
    </row>
    <row r="1243" spans="5:5" x14ac:dyDescent="0.4">
      <c r="E1243" s="2"/>
    </row>
    <row r="1244" spans="5:5" x14ac:dyDescent="0.4">
      <c r="E1244" s="2"/>
    </row>
    <row r="1245" spans="5:5" x14ac:dyDescent="0.4">
      <c r="E1245" s="2"/>
    </row>
    <row r="1246" spans="5:5" x14ac:dyDescent="0.4">
      <c r="E1246" s="2"/>
    </row>
    <row r="1247" spans="5:5" x14ac:dyDescent="0.4">
      <c r="E1247" s="2"/>
    </row>
    <row r="1248" spans="5:5" x14ac:dyDescent="0.4">
      <c r="E1248" s="2"/>
    </row>
    <row r="1249" spans="5:5" x14ac:dyDescent="0.4">
      <c r="E1249" s="2"/>
    </row>
    <row r="1250" spans="5:5" x14ac:dyDescent="0.4">
      <c r="E1250" s="2"/>
    </row>
    <row r="1251" spans="5:5" x14ac:dyDescent="0.4">
      <c r="E1251" s="2"/>
    </row>
    <row r="1252" spans="5:5" x14ac:dyDescent="0.4">
      <c r="E1252" s="2"/>
    </row>
    <row r="1253" spans="5:5" x14ac:dyDescent="0.4">
      <c r="E1253" s="2"/>
    </row>
    <row r="1254" spans="5:5" x14ac:dyDescent="0.4">
      <c r="E1254" s="2"/>
    </row>
    <row r="1255" spans="5:5" x14ac:dyDescent="0.4">
      <c r="E1255" s="2"/>
    </row>
    <row r="1256" spans="5:5" x14ac:dyDescent="0.4">
      <c r="E1256" s="2"/>
    </row>
    <row r="1257" spans="5:5" x14ac:dyDescent="0.4">
      <c r="E1257" s="2"/>
    </row>
    <row r="1258" spans="5:5" x14ac:dyDescent="0.4">
      <c r="E1258" s="2"/>
    </row>
    <row r="1259" spans="5:5" x14ac:dyDescent="0.4">
      <c r="E1259" s="2"/>
    </row>
    <row r="1260" spans="5:5" x14ac:dyDescent="0.4">
      <c r="E1260" s="2"/>
    </row>
    <row r="1261" spans="5:5" x14ac:dyDescent="0.4">
      <c r="E1261" s="2"/>
    </row>
    <row r="1262" spans="5:5" x14ac:dyDescent="0.4">
      <c r="E1262" s="2"/>
    </row>
    <row r="1263" spans="5:5" x14ac:dyDescent="0.4">
      <c r="E1263" s="2"/>
    </row>
    <row r="1264" spans="5:5" x14ac:dyDescent="0.4">
      <c r="E1264" s="2"/>
    </row>
    <row r="1265" spans="5:5" x14ac:dyDescent="0.4">
      <c r="E1265" s="2"/>
    </row>
    <row r="1266" spans="5:5" x14ac:dyDescent="0.4">
      <c r="E1266" s="2"/>
    </row>
    <row r="1267" spans="5:5" x14ac:dyDescent="0.4">
      <c r="E1267" s="2"/>
    </row>
    <row r="1268" spans="5:5" x14ac:dyDescent="0.4">
      <c r="E1268" s="2"/>
    </row>
    <row r="1269" spans="5:5" x14ac:dyDescent="0.4">
      <c r="E1269" s="2"/>
    </row>
    <row r="1270" spans="5:5" x14ac:dyDescent="0.4">
      <c r="E1270" s="2"/>
    </row>
    <row r="1271" spans="5:5" x14ac:dyDescent="0.4">
      <c r="E1271" s="2"/>
    </row>
    <row r="1272" spans="5:5" x14ac:dyDescent="0.4">
      <c r="E1272" s="2"/>
    </row>
    <row r="1273" spans="5:5" x14ac:dyDescent="0.4">
      <c r="E1273" s="2"/>
    </row>
    <row r="1274" spans="5:5" x14ac:dyDescent="0.4">
      <c r="E1274" s="2"/>
    </row>
    <row r="1275" spans="5:5" x14ac:dyDescent="0.4">
      <c r="E1275" s="2"/>
    </row>
    <row r="1276" spans="5:5" x14ac:dyDescent="0.4">
      <c r="E1276" s="2"/>
    </row>
    <row r="1277" spans="5:5" x14ac:dyDescent="0.4">
      <c r="E1277" s="2"/>
    </row>
    <row r="1278" spans="5:5" x14ac:dyDescent="0.4">
      <c r="E1278" s="2"/>
    </row>
    <row r="1279" spans="5:5" x14ac:dyDescent="0.4">
      <c r="E1279" s="2"/>
    </row>
    <row r="1280" spans="5:5" x14ac:dyDescent="0.4">
      <c r="E1280" s="2"/>
    </row>
    <row r="1281" spans="5:5" x14ac:dyDescent="0.4">
      <c r="E1281" s="2"/>
    </row>
    <row r="1282" spans="5:5" x14ac:dyDescent="0.4">
      <c r="E1282" s="2"/>
    </row>
    <row r="1283" spans="5:5" x14ac:dyDescent="0.4">
      <c r="E1283" s="2"/>
    </row>
    <row r="1284" spans="5:5" x14ac:dyDescent="0.4">
      <c r="E1284" s="2"/>
    </row>
    <row r="1285" spans="5:5" x14ac:dyDescent="0.4">
      <c r="E1285" s="2"/>
    </row>
    <row r="1286" spans="5:5" x14ac:dyDescent="0.4">
      <c r="E1286" s="2"/>
    </row>
    <row r="1287" spans="5:5" x14ac:dyDescent="0.4">
      <c r="E1287" s="2"/>
    </row>
    <row r="1288" spans="5:5" x14ac:dyDescent="0.4">
      <c r="E1288" s="2"/>
    </row>
    <row r="1289" spans="5:5" x14ac:dyDescent="0.4">
      <c r="E1289" s="2"/>
    </row>
    <row r="1290" spans="5:5" x14ac:dyDescent="0.4">
      <c r="E1290" s="2"/>
    </row>
    <row r="1291" spans="5:5" x14ac:dyDescent="0.4">
      <c r="E1291" s="2"/>
    </row>
    <row r="1292" spans="5:5" x14ac:dyDescent="0.4">
      <c r="E1292" s="2"/>
    </row>
  </sheetData>
  <sortState xmlns:xlrd2="http://schemas.microsoft.com/office/spreadsheetml/2017/richdata2" ref="B2:S1292">
    <sortCondition ref="B2:B1292"/>
  </sortState>
  <phoneticPr fontId="2" type="noConversion"/>
  <conditionalFormatting sqref="B2:S9989">
    <cfRule type="expression" dxfId="1" priority="3">
      <formula>$C2&lt;&gt;""</formula>
    </cfRule>
  </conditionalFormatting>
  <conditionalFormatting sqref="S272">
    <cfRule type="expression" dxfId="0" priority="1">
      <formula>$C272&lt;&gt;""</formula>
    </cfRule>
  </conditionalFormatting>
  <pageMargins left="0.69930555555555596" right="0.69930555555555596" top="0.75" bottom="0.75" header="0.3" footer="0.3"/>
  <pageSetup paperSize="9" orientation="portrait" horizontalDpi="2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订单登记表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zhang</dc:creator>
  <cp:lastModifiedBy>alon zhang</cp:lastModifiedBy>
  <dcterms:created xsi:type="dcterms:W3CDTF">2026-01-02T06:31:47Z</dcterms:created>
  <dcterms:modified xsi:type="dcterms:W3CDTF">2026-01-04T13:29:17Z</dcterms:modified>
</cp:coreProperties>
</file>